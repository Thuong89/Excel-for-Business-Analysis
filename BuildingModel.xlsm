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Sophia\Documents\STUDY ABROAD\MSM COURSE n PLAN\course- investment analysis in excel\2019\"/>
    </mc:Choice>
  </mc:AlternateContent>
  <xr:revisionPtr revIDLastSave="0" documentId="13_ncr:1_{422BCEF7-5FFE-4258-8017-16D10F1FBD3E}" xr6:coauthVersionLast="40" xr6:coauthVersionMax="40" xr10:uidLastSave="{00000000-0000-0000-0000-000000000000}"/>
  <bookViews>
    <workbookView xWindow="-108" yWindow="-108" windowWidth="23256" windowHeight="12576" xr2:uid="{6E6FF8AD-4EF5-484F-AA01-53F98DCB806C}"/>
  </bookViews>
  <sheets>
    <sheet name="all in one" sheetId="2" r:id="rId1"/>
    <sheet name="Scenario Summary" sheetId="8" r:id="rId2"/>
    <sheet name="answers all questions" sheetId="9" r:id="rId3"/>
    <sheet name="report pdf" sheetId="6" r:id="rId4"/>
  </sheets>
  <definedNames>
    <definedName name="apartment1">'all in one'!$B$7:$B$16</definedName>
    <definedName name="apartment2">'all in one'!$C$7:$C$16</definedName>
    <definedName name="apartment3">'all in one'!$D$7:$D$16</definedName>
    <definedName name="cost">'all in one'!$B$23:$B$26</definedName>
    <definedName name="refmonth">'all in one'!$B$14</definedName>
    <definedName name="rentmonth3">'all in one'!$D$7</definedName>
    <definedName name="revmonth">'all in one'!$D$16</definedName>
    <definedName name="sc">'all in one'!$P$34:$S$37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6" i="2" l="1"/>
  <c r="B9" i="2" l="1"/>
  <c r="C38" i="2" l="1"/>
  <c r="D38" i="2"/>
  <c r="E38" i="2"/>
  <c r="F38" i="2"/>
  <c r="G38" i="2"/>
  <c r="H38" i="2"/>
  <c r="I38" i="2"/>
  <c r="J38" i="2"/>
  <c r="K38" i="2"/>
  <c r="L38" i="2"/>
  <c r="M38" i="2"/>
  <c r="B38" i="2"/>
  <c r="C37" i="2"/>
  <c r="D37" i="2"/>
  <c r="E37" i="2"/>
  <c r="F37" i="2"/>
  <c r="G37" i="2"/>
  <c r="H37" i="2"/>
  <c r="I37" i="2"/>
  <c r="J37" i="2"/>
  <c r="K37" i="2"/>
  <c r="L37" i="2"/>
  <c r="M37" i="2"/>
  <c r="B37" i="2"/>
  <c r="C36" i="2"/>
  <c r="D36" i="2"/>
  <c r="E36" i="2"/>
  <c r="F36" i="2"/>
  <c r="G36" i="2"/>
  <c r="H36" i="2"/>
  <c r="I36" i="2"/>
  <c r="J36" i="2"/>
  <c r="K36" i="2"/>
  <c r="L36" i="2"/>
  <c r="M36" i="2"/>
  <c r="B36" i="2"/>
  <c r="B79" i="2" l="1"/>
  <c r="B44" i="2"/>
  <c r="C44" i="2"/>
  <c r="D44" i="2"/>
  <c r="E44" i="2"/>
  <c r="F44" i="2"/>
  <c r="G44" i="2"/>
  <c r="H44" i="2"/>
  <c r="I44" i="2"/>
  <c r="J44" i="2"/>
  <c r="K44" i="2"/>
  <c r="L44" i="2"/>
  <c r="M44" i="2"/>
  <c r="B49" i="2"/>
  <c r="C49" i="2" s="1"/>
  <c r="B51" i="2"/>
  <c r="C51" i="2"/>
  <c r="D51" i="2"/>
  <c r="E51" i="2"/>
  <c r="F51" i="2"/>
  <c r="G51" i="2"/>
  <c r="H51" i="2"/>
  <c r="I51" i="2"/>
  <c r="J51" i="2"/>
  <c r="K51" i="2"/>
  <c r="L51" i="2"/>
  <c r="M51" i="2"/>
  <c r="B52" i="2"/>
  <c r="C52" i="2"/>
  <c r="D52" i="2"/>
  <c r="E52" i="2"/>
  <c r="F52" i="2"/>
  <c r="G52" i="2"/>
  <c r="H52" i="2"/>
  <c r="I52" i="2"/>
  <c r="J52" i="2"/>
  <c r="K52" i="2"/>
  <c r="L52" i="2"/>
  <c r="M52" i="2"/>
  <c r="B53" i="2"/>
  <c r="C53" i="2"/>
  <c r="D53" i="2"/>
  <c r="E53" i="2"/>
  <c r="F53" i="2"/>
  <c r="G53" i="2"/>
  <c r="H53" i="2"/>
  <c r="I53" i="2"/>
  <c r="J53" i="2"/>
  <c r="K53" i="2"/>
  <c r="L53" i="2"/>
  <c r="M53" i="2"/>
  <c r="B58" i="2"/>
  <c r="C58" i="2"/>
  <c r="D58" i="2"/>
  <c r="E58" i="2"/>
  <c r="F58" i="2"/>
  <c r="G58" i="2"/>
  <c r="H58" i="2"/>
  <c r="I58" i="2"/>
  <c r="J58" i="2"/>
  <c r="K58" i="2"/>
  <c r="L58" i="2"/>
  <c r="M58" i="2"/>
  <c r="B59" i="2"/>
  <c r="C59" i="2"/>
  <c r="D59" i="2"/>
  <c r="E59" i="2"/>
  <c r="F59" i="2"/>
  <c r="G59" i="2"/>
  <c r="H59" i="2"/>
  <c r="I59" i="2"/>
  <c r="J59" i="2"/>
  <c r="K59" i="2"/>
  <c r="L59" i="2"/>
  <c r="M59" i="2"/>
  <c r="B60" i="2"/>
  <c r="C60" i="2"/>
  <c r="D60" i="2"/>
  <c r="E60" i="2"/>
  <c r="F60" i="2"/>
  <c r="G60" i="2"/>
  <c r="H60" i="2"/>
  <c r="I60" i="2"/>
  <c r="J60" i="2"/>
  <c r="K60" i="2"/>
  <c r="L60" i="2"/>
  <c r="M60" i="2"/>
  <c r="B61" i="2"/>
  <c r="C61" i="2"/>
  <c r="D61" i="2"/>
  <c r="E61" i="2"/>
  <c r="F61" i="2"/>
  <c r="G61" i="2"/>
  <c r="H61" i="2"/>
  <c r="I61" i="2"/>
  <c r="J61" i="2"/>
  <c r="K61" i="2"/>
  <c r="L61" i="2"/>
  <c r="M61" i="2"/>
  <c r="B62" i="2"/>
  <c r="C62" i="2"/>
  <c r="D62" i="2"/>
  <c r="E62" i="2"/>
  <c r="F62" i="2"/>
  <c r="G62" i="2"/>
  <c r="H62" i="2"/>
  <c r="I62" i="2"/>
  <c r="J62" i="2"/>
  <c r="K62" i="2"/>
  <c r="L62" i="2"/>
  <c r="M62" i="2"/>
  <c r="B63" i="2"/>
  <c r="C63" i="2"/>
  <c r="D63" i="2"/>
  <c r="E63" i="2"/>
  <c r="F63" i="2"/>
  <c r="G63" i="2"/>
  <c r="H63" i="2"/>
  <c r="I63" i="2"/>
  <c r="J63" i="2"/>
  <c r="K63" i="2"/>
  <c r="L63" i="2"/>
  <c r="M63" i="2"/>
  <c r="B64" i="2"/>
  <c r="C64" i="2"/>
  <c r="D64" i="2"/>
  <c r="E64" i="2"/>
  <c r="F64" i="2"/>
  <c r="G64" i="2"/>
  <c r="H64" i="2"/>
  <c r="I64" i="2"/>
  <c r="J64" i="2"/>
  <c r="J65" i="2" s="1"/>
  <c r="K64" i="2"/>
  <c r="L64" i="2"/>
  <c r="M64" i="2"/>
  <c r="B65" i="2"/>
  <c r="C65" i="2"/>
  <c r="D65" i="2"/>
  <c r="E65" i="2"/>
  <c r="F65" i="2"/>
  <c r="G65" i="2"/>
  <c r="H65" i="2"/>
  <c r="L65" i="2"/>
  <c r="D9" i="2"/>
  <c r="B34" i="2"/>
  <c r="B35" i="2" s="1"/>
  <c r="C8" i="2"/>
  <c r="B42" i="2" s="1"/>
  <c r="K65" i="2" l="1"/>
  <c r="M65" i="2"/>
  <c r="I65" i="2"/>
  <c r="B50" i="2"/>
  <c r="B54" i="2" s="1"/>
  <c r="B39" i="2"/>
  <c r="C34" i="2"/>
  <c r="C35" i="2" s="1"/>
  <c r="B43" i="2"/>
  <c r="B45" i="2" s="1"/>
  <c r="C42" i="2"/>
  <c r="C50" i="2"/>
  <c r="C54" i="2" s="1"/>
  <c r="D49" i="2"/>
  <c r="C39" i="2" l="1"/>
  <c r="D34" i="2"/>
  <c r="D35" i="2" s="1"/>
  <c r="C43" i="2"/>
  <c r="C45" i="2" s="1"/>
  <c r="D42" i="2"/>
  <c r="B69" i="2"/>
  <c r="D50" i="2"/>
  <c r="D54" i="2" s="1"/>
  <c r="E49" i="2"/>
  <c r="B72" i="2" l="1"/>
  <c r="B73" i="2" s="1"/>
  <c r="B71" i="2"/>
  <c r="C69" i="2"/>
  <c r="C72" i="2" s="1"/>
  <c r="C73" i="2" s="1"/>
  <c r="E34" i="2"/>
  <c r="E35" i="2" s="1"/>
  <c r="D39" i="2"/>
  <c r="F49" i="2"/>
  <c r="E50" i="2"/>
  <c r="E54" i="2" s="1"/>
  <c r="E42" i="2"/>
  <c r="D43" i="2"/>
  <c r="D45" i="2" s="1"/>
  <c r="C74" i="2" l="1"/>
  <c r="B74" i="2"/>
  <c r="C71" i="2"/>
  <c r="F50" i="2"/>
  <c r="F54" i="2" s="1"/>
  <c r="G49" i="2"/>
  <c r="F42" i="2"/>
  <c r="E43" i="2"/>
  <c r="E45" i="2" s="1"/>
  <c r="F34" i="2"/>
  <c r="F35" i="2" s="1"/>
  <c r="E39" i="2"/>
  <c r="D69" i="2"/>
  <c r="D72" i="2" l="1"/>
  <c r="D71" i="2"/>
  <c r="E69" i="2"/>
  <c r="F39" i="2"/>
  <c r="G34" i="2"/>
  <c r="G35" i="2" s="1"/>
  <c r="G50" i="2"/>
  <c r="G54" i="2" s="1"/>
  <c r="H49" i="2"/>
  <c r="F43" i="2"/>
  <c r="F45" i="2" s="1"/>
  <c r="G42" i="2"/>
  <c r="D73" i="2" l="1"/>
  <c r="D74" i="2" s="1"/>
  <c r="E71" i="2"/>
  <c r="G39" i="2"/>
  <c r="H34" i="2"/>
  <c r="H35" i="2" s="1"/>
  <c r="G43" i="2"/>
  <c r="G45" i="2" s="1"/>
  <c r="H42" i="2"/>
  <c r="F69" i="2"/>
  <c r="F71" i="2" s="1"/>
  <c r="I49" i="2"/>
  <c r="H50" i="2"/>
  <c r="H54" i="2" s="1"/>
  <c r="E72" i="2" l="1"/>
  <c r="E73" i="2" s="1"/>
  <c r="E74" i="2" s="1"/>
  <c r="J49" i="2"/>
  <c r="I50" i="2"/>
  <c r="I54" i="2" s="1"/>
  <c r="G69" i="2"/>
  <c r="I42" i="2"/>
  <c r="H43" i="2"/>
  <c r="H45" i="2" s="1"/>
  <c r="H39" i="2"/>
  <c r="I34" i="2"/>
  <c r="I35" i="2" s="1"/>
  <c r="F72" i="2" l="1"/>
  <c r="F73" i="2" s="1"/>
  <c r="F74" i="2" s="1"/>
  <c r="G72" i="2" s="1"/>
  <c r="G73" i="2" s="1"/>
  <c r="G74" i="2" s="1"/>
  <c r="G71" i="2"/>
  <c r="J34" i="2"/>
  <c r="J35" i="2" s="1"/>
  <c r="I39" i="2"/>
  <c r="H69" i="2"/>
  <c r="H71" i="2" s="1"/>
  <c r="J50" i="2"/>
  <c r="J54" i="2" s="1"/>
  <c r="K49" i="2"/>
  <c r="J42" i="2"/>
  <c r="I43" i="2"/>
  <c r="I45" i="2" s="1"/>
  <c r="H72" i="2" l="1"/>
  <c r="H73" i="2" s="1"/>
  <c r="I69" i="2"/>
  <c r="I71" i="2" s="1"/>
  <c r="J39" i="2"/>
  <c r="K34" i="2"/>
  <c r="K35" i="2" s="1"/>
  <c r="K50" i="2"/>
  <c r="K54" i="2" s="1"/>
  <c r="L49" i="2"/>
  <c r="J43" i="2"/>
  <c r="J45" i="2" s="1"/>
  <c r="K42" i="2"/>
  <c r="H74" i="2" l="1"/>
  <c r="J69" i="2"/>
  <c r="J71" i="2" s="1"/>
  <c r="K43" i="2"/>
  <c r="K45" i="2" s="1"/>
  <c r="L42" i="2"/>
  <c r="M49" i="2"/>
  <c r="L50" i="2"/>
  <c r="L54" i="2" s="1"/>
  <c r="K39" i="2"/>
  <c r="L34" i="2"/>
  <c r="L35" i="2" s="1"/>
  <c r="I72" i="2" l="1"/>
  <c r="I73" i="2" s="1"/>
  <c r="I74" i="2" s="1"/>
  <c r="K69" i="2"/>
  <c r="K71" i="2" s="1"/>
  <c r="M42" i="2"/>
  <c r="L43" i="2"/>
  <c r="L45" i="2" s="1"/>
  <c r="M34" i="2"/>
  <c r="M35" i="2" s="1"/>
  <c r="L39" i="2"/>
  <c r="M50" i="2"/>
  <c r="M54" i="2" s="1"/>
  <c r="J72" i="2" l="1"/>
  <c r="J73" i="2" s="1"/>
  <c r="J74" i="2" s="1"/>
  <c r="L69" i="2"/>
  <c r="L71" i="2" s="1"/>
  <c r="M43" i="2"/>
  <c r="M45" i="2" s="1"/>
  <c r="M39" i="2"/>
  <c r="K72" i="2" l="1"/>
  <c r="K73" i="2" s="1"/>
  <c r="K74" i="2" s="1"/>
  <c r="L72" i="2" s="1"/>
  <c r="L73" i="2" s="1"/>
  <c r="L74" i="2" s="1"/>
  <c r="M69" i="2"/>
  <c r="M71" i="2" s="1"/>
  <c r="M72" i="2" l="1"/>
  <c r="M73" i="2" s="1"/>
  <c r="M74" i="2" s="1"/>
  <c r="N73" i="2" l="1"/>
  <c r="M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Sophia</author>
  </authors>
  <commentList>
    <comment ref="B4" authorId="0" shapeId="0" xr:uid="{5F3CAE79-957B-4D8D-9059-CB05ED0365FD}">
      <text/>
    </comment>
    <comment ref="B14" authorId="0" shapeId="0" xr:uid="{E494E42E-1F49-4A6F-A08A-0CA8C3E77553}">
      <text>
        <r>
          <rPr>
            <b/>
            <sz val="9"/>
            <color indexed="81"/>
            <rFont val="Tahoma"/>
            <family val="2"/>
          </rPr>
          <t>if select from dropdown list "June", answer of the assignment will be resulted in the calculation part, cause this cell links to the automated cell in the calculation</t>
        </r>
      </text>
    </comment>
    <comment ref="B15" authorId="0" shapeId="0" xr:uid="{9121B445-C3E0-48BB-8E4F-60F52E28823D}">
      <text>
        <r>
          <rPr>
            <sz val="9"/>
            <color indexed="81"/>
            <rFont val="Tahoma"/>
            <family val="2"/>
          </rPr>
          <t>new refridgerator cost</t>
        </r>
      </text>
    </comment>
    <comment ref="D15" authorId="0" shapeId="0" xr:uid="{617B02E7-5A31-4435-A31F-CA4BC343E568}">
      <text>
        <r>
          <rPr>
            <b/>
            <sz val="9"/>
            <color indexed="81"/>
            <rFont val="Tahoma"/>
            <family val="2"/>
          </rPr>
          <t>Renovation total cost</t>
        </r>
      </text>
    </comment>
  </commentList>
</comments>
</file>

<file path=xl/sharedStrings.xml><?xml version="1.0" encoding="utf-8"?>
<sst xmlns="http://schemas.openxmlformats.org/spreadsheetml/2006/main" count="209" uniqueCount="106">
  <si>
    <t>Jan</t>
  </si>
  <si>
    <t>Feb</t>
  </si>
  <si>
    <t>Mar</t>
  </si>
  <si>
    <t>Apr</t>
  </si>
  <si>
    <t>May</t>
  </si>
  <si>
    <t>Jun</t>
  </si>
  <si>
    <t>Jul</t>
  </si>
  <si>
    <t>Aug</t>
  </si>
  <si>
    <t>Sep</t>
  </si>
  <si>
    <t>Oct</t>
  </si>
  <si>
    <t>Nov</t>
  </si>
  <si>
    <t>Dec</t>
  </si>
  <si>
    <t>Water</t>
  </si>
  <si>
    <t>Condominium fee</t>
  </si>
  <si>
    <t>loan (rahoitusvastike)</t>
  </si>
  <si>
    <t>New refridgerator</t>
  </si>
  <si>
    <t>Renovation</t>
  </si>
  <si>
    <t>banking</t>
  </si>
  <si>
    <t>book-keeping</t>
  </si>
  <si>
    <t>previous year taxes payable</t>
  </si>
  <si>
    <t>belated payback</t>
  </si>
  <si>
    <t>Insurance</t>
  </si>
  <si>
    <t>CASH FLOW</t>
  </si>
  <si>
    <t>LIQUIDITY</t>
  </si>
  <si>
    <t>COMPANY COSTS</t>
  </si>
  <si>
    <t>Cash flow</t>
  </si>
  <si>
    <t>cash flow</t>
  </si>
  <si>
    <t>Total costs</t>
  </si>
  <si>
    <t>Apartment 1</t>
  </si>
  <si>
    <t>Apartment 3</t>
  </si>
  <si>
    <t>Apartment 2</t>
  </si>
  <si>
    <t>Loan (rahoitusvastike)</t>
  </si>
  <si>
    <t>Starting month of renting</t>
  </si>
  <si>
    <t>Water fee (per person per month)</t>
  </si>
  <si>
    <t>No of tenants</t>
  </si>
  <si>
    <t>Rent per month (incl water)</t>
  </si>
  <si>
    <t>Rent per month (excluding water)</t>
  </si>
  <si>
    <t>Month to install new refridgerator</t>
  </si>
  <si>
    <t>Revenues from rent (excl water)</t>
  </si>
  <si>
    <t>Revenues from rent (incl water)</t>
  </si>
  <si>
    <t>Monthly</t>
  </si>
  <si>
    <t>Frequentcy</t>
  </si>
  <si>
    <t>miscellaneous cost 1</t>
  </si>
  <si>
    <t>miscellaneous cost 2</t>
  </si>
  <si>
    <t>end month of each quarter</t>
  </si>
  <si>
    <t>Amount</t>
  </si>
  <si>
    <t>initial deposit</t>
  </si>
  <si>
    <t>Total cash flow</t>
  </si>
  <si>
    <t>Other costs</t>
  </si>
  <si>
    <t>No of months of renovation</t>
  </si>
  <si>
    <t>Money insert</t>
  </si>
  <si>
    <t>Liquidity before inserting money</t>
  </si>
  <si>
    <t>Resulting liquidity</t>
  </si>
  <si>
    <t>% required increase in the rent</t>
  </si>
  <si>
    <t>required amount of renovation cut</t>
  </si>
  <si>
    <t>cell with special note</t>
  </si>
  <si>
    <t>Breakeven analysis</t>
  </si>
  <si>
    <t>Sensitivity analysis</t>
  </si>
  <si>
    <t>sum of money insert</t>
  </si>
  <si>
    <t>Month of installing new refridgerator</t>
  </si>
  <si>
    <t>%increase in rents</t>
  </si>
  <si>
    <t>optimistic</t>
  </si>
  <si>
    <t>pessimistic</t>
  </si>
  <si>
    <t>realistic</t>
  </si>
  <si>
    <t>Scenario Summary</t>
  </si>
  <si>
    <t>Changing Cells:</t>
  </si>
  <si>
    <t>Current Values:</t>
  </si>
  <si>
    <t>Result Cells:</t>
  </si>
  <si>
    <t>Conclusion:</t>
  </si>
  <si>
    <t>INPUT SECTION</t>
  </si>
  <si>
    <t>OUTPUT SECTION</t>
  </si>
  <si>
    <t>CALCULATION SECTION</t>
  </si>
  <si>
    <t>cells should not insert any content</t>
  </si>
  <si>
    <t>LIQUIDITY REPORT</t>
  </si>
  <si>
    <t>Created by Sophia on 2/22/2019
Modified by Sophia on 2/22/2019
Modified by Sophia on 2/23/2019</t>
  </si>
  <si>
    <t>Created by Sophia on 2/22/2019
Modified by Sophia on 2/23/2019</t>
  </si>
  <si>
    <r>
      <rPr>
        <b/>
        <sz val="11"/>
        <color theme="1"/>
        <rFont val="Calibri"/>
        <family val="2"/>
        <scheme val="minor"/>
      </rPr>
      <t>Optimistic scenario:</t>
    </r>
    <r>
      <rPr>
        <sz val="11"/>
        <color theme="1"/>
        <rFont val="Calibri"/>
        <family val="2"/>
        <scheme val="minor"/>
      </rPr>
      <t xml:space="preserve"> it is supposed that the apartment 3 can be rent out since Mar (people still rent it when it is renovated 50%, the rest 50% renovation outdoor does not influence much to living), renovation time is 6 months to distribute evenly the cost of renovation, and refridgerator is installed in Dec when liquidity is less pressuring. The insert amount of money is 1000eur.</t>
    </r>
  </si>
  <si>
    <r>
      <rPr>
        <b/>
        <sz val="11"/>
        <color theme="1"/>
        <rFont val="Calibri"/>
        <family val="2"/>
        <scheme val="minor"/>
      </rPr>
      <t>Realistic scenario</t>
    </r>
    <r>
      <rPr>
        <sz val="11"/>
        <color theme="1"/>
        <rFont val="Calibri"/>
        <family val="2"/>
        <scheme val="minor"/>
      </rPr>
      <t>: I assume the normal situation is as in the case described, resulting the insert amount of money 4000eur.</t>
    </r>
  </si>
  <si>
    <t>new refridgerator month</t>
  </si>
  <si>
    <t>revovation months</t>
  </si>
  <si>
    <t>starting rent of apartment 3</t>
  </si>
  <si>
    <t>Insert amount of money</t>
  </si>
  <si>
    <t>Liquidity for calculation of money insert</t>
  </si>
  <si>
    <t>cells: user can change value</t>
  </si>
  <si>
    <r>
      <t xml:space="preserve">(c) After which month delaying refrigerator change would not make any difference? </t>
    </r>
    <r>
      <rPr>
        <b/>
        <sz val="9"/>
        <color theme="1"/>
        <rFont val="Calibri"/>
        <family val="2"/>
        <scheme val="minor"/>
      </rPr>
      <t xml:space="preserve">After the month of May. </t>
    </r>
  </si>
  <si>
    <r>
      <t xml:space="preserve">(d) If renovation duration stays 4 months, does changing delay in rent affect the overall extra money needed? </t>
    </r>
    <r>
      <rPr>
        <b/>
        <sz val="9"/>
        <color theme="1"/>
        <rFont val="Calibri"/>
        <family val="2"/>
        <scheme val="minor"/>
      </rPr>
      <t xml:space="preserve">No. </t>
    </r>
  </si>
  <si>
    <t>ANSWERING ALL QUESTIONS</t>
  </si>
  <si>
    <r>
      <rPr>
        <b/>
        <sz val="11"/>
        <color theme="1"/>
        <rFont val="Calibri"/>
        <family val="2"/>
        <scheme val="minor"/>
      </rPr>
      <t>Pessimistic scenario</t>
    </r>
    <r>
      <rPr>
        <sz val="11"/>
        <color theme="1"/>
        <rFont val="Calibri"/>
        <family val="2"/>
        <scheme val="minor"/>
      </rPr>
      <t>: it takes 2 months to renovate (meaning each month cost of renovation will be very high, pressuring to the liquidity), while apartment has 4-months ready but without anyone rent it, refridgerator change in Jan , adding more pressure to the begining months of the year. Company has to insert 6000eur to keep liquidity not negative.</t>
    </r>
  </si>
  <si>
    <t>MANUAL SCENARIO TOOLS</t>
  </si>
  <si>
    <t>(a) How many months in a row the enterprise has a negative balance and unable to pay the bills without extra money?</t>
  </si>
  <si>
    <t xml:space="preserve"> In the original case, the liquidity shows negative account in 9 months in a row, from Feb to Oct, meaning that in those months, the real estate company is unable to pay the bills without extra money.</t>
  </si>
  <si>
    <t xml:space="preserve">(b) How would the situation change if the refrigerator change can be postponed till June? </t>
  </si>
  <si>
    <t xml:space="preserve">The company still needs to insert money from Feb to Oct, but in that scenario, it needs 1000 € less money than the original case. </t>
  </si>
  <si>
    <t xml:space="preserve">(e) Assuming no delay in renting, how does renovation duration affect the overall extra money needed? Are three months better or worse than four months? Are two months better or worse than three months? </t>
  </si>
  <si>
    <t>Assuming no delay in renting, the longer the renovation duration, the less inserted money needed ( because the renovation cost per month is less, leaving pace for other income to compensate). Test in my model prove that if duration is 4 months or 3 months, 4000eur and 3000eur respectively extra money needs.</t>
  </si>
  <si>
    <t xml:space="preserve">(f) How does the picture changes if 2 months delay is assumed? </t>
  </si>
  <si>
    <t xml:space="preserve">If renovation delays 2 months (until end of June) and renting starts from July. The required inserted money is the 4000 €, the same as in the original scenario, and the months needs extra money are different between this scenario and the original scenario. </t>
  </si>
  <si>
    <r>
      <t>(g) What renovation duration you would choose as a manager having a possibility of delay in renting afterward. Why</t>
    </r>
    <r>
      <rPr>
        <sz val="9"/>
        <color theme="1"/>
        <rFont val="Calibri"/>
        <family val="2"/>
        <scheme val="minor"/>
      </rPr>
      <t>?</t>
    </r>
  </si>
  <si>
    <t xml:space="preserve"> I would try to prolong the renovation duration (maybe 6 months), and try to get the apartment rented during renovation (maybe from Mar), because in reality it is possible people still rent during renovation.</t>
  </si>
  <si>
    <t>renovation duration (months)</t>
  </si>
  <si>
    <t>Scenario</t>
  </si>
  <si>
    <t>no delay</t>
  </si>
  <si>
    <t>1 month delay</t>
  </si>
  <si>
    <t>2 month delay</t>
  </si>
  <si>
    <t>delay time in renting</t>
  </si>
  <si>
    <t>month rent 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</si>
</sst>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b/>
      <sz val="36"/>
      <color rgb="FF00B050"/>
      <name val="Calibri"/>
      <family val="2"/>
      <scheme val="minor"/>
    </font>
    <font>
      <sz val="9"/>
      <color indexed="81"/>
      <name val="Tahoma"/>
      <family val="2"/>
    </font>
    <font>
      <b/>
      <sz val="9"/>
      <color indexed="81"/>
      <name val="Tahoma"/>
      <family val="2"/>
    </font>
    <font>
      <sz val="11"/>
      <color rgb="FF000000"/>
      <name val="Calibri"/>
      <family val="2"/>
    </font>
    <font>
      <sz val="10"/>
      <color indexed="9"/>
      <name val="Calibri"/>
      <family val="2"/>
      <scheme val="minor"/>
    </font>
    <font>
      <sz val="8"/>
      <color theme="1"/>
      <name val="Calibri"/>
      <family val="2"/>
      <scheme val="minor"/>
    </font>
    <font>
      <b/>
      <sz val="20"/>
      <color rgb="FF00B05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i/>
      <sz val="9"/>
      <color theme="1"/>
      <name val="Calibri"/>
      <family val="2"/>
      <scheme val="minor"/>
    </font>
    <font>
      <b/>
      <sz val="9"/>
      <color theme="1"/>
      <name val="Calibri"/>
      <family val="2"/>
      <scheme val="minor"/>
    </font>
    <font>
      <sz val="9"/>
      <color theme="1"/>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rgb="FFFFFF00"/>
        <bgColor indexed="64"/>
      </patternFill>
    </fill>
    <fill>
      <patternFill patternType="solid">
        <fgColor rgb="FFFFC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51">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1" xfId="0" applyBorder="1"/>
    <xf numFmtId="0" fontId="0" fillId="5" borderId="1" xfId="0" applyFill="1" applyBorder="1"/>
    <xf numFmtId="0" fontId="0" fillId="6" borderId="1" xfId="0" applyFill="1" applyBorder="1"/>
    <xf numFmtId="0" fontId="0" fillId="6" borderId="0" xfId="0" applyFill="1"/>
    <xf numFmtId="0" fontId="0" fillId="2" borderId="1" xfId="0" applyFill="1" applyBorder="1"/>
    <xf numFmtId="0" fontId="1" fillId="0" borderId="1" xfId="0" applyFont="1" applyBorder="1"/>
    <xf numFmtId="0" fontId="0" fillId="0" borderId="2" xfId="0" applyBorder="1"/>
    <xf numFmtId="0" fontId="0" fillId="0" borderId="3" xfId="0" applyBorder="1"/>
    <xf numFmtId="0" fontId="0" fillId="0" borderId="4" xfId="0" applyBorder="1"/>
    <xf numFmtId="0" fontId="2" fillId="0" borderId="0" xfId="0" applyFont="1"/>
    <xf numFmtId="9" fontId="0" fillId="0" borderId="0" xfId="0" applyNumberFormat="1"/>
    <xf numFmtId="0" fontId="0" fillId="7" borderId="0" xfId="0" applyFill="1"/>
    <xf numFmtId="0" fontId="0" fillId="8" borderId="0" xfId="0" applyFill="1"/>
    <xf numFmtId="0" fontId="2" fillId="8" borderId="0" xfId="0" applyFont="1" applyFill="1"/>
    <xf numFmtId="9" fontId="0" fillId="8" borderId="0" xfId="0" applyNumberFormat="1" applyFill="1"/>
    <xf numFmtId="0" fontId="1" fillId="0" borderId="0" xfId="0" applyFont="1"/>
    <xf numFmtId="0" fontId="0" fillId="8" borderId="6" xfId="0" applyFill="1" applyBorder="1"/>
    <xf numFmtId="9" fontId="0" fillId="8" borderId="7" xfId="0" applyNumberFormat="1" applyFill="1" applyBorder="1"/>
    <xf numFmtId="0" fontId="0" fillId="8" borderId="7" xfId="0" applyFill="1" applyBorder="1"/>
    <xf numFmtId="0" fontId="0" fillId="9" borderId="0" xfId="0" applyFill="1"/>
    <xf numFmtId="0" fontId="0" fillId="0" borderId="5" xfId="0" applyBorder="1"/>
    <xf numFmtId="0" fontId="6" fillId="10" borderId="8" xfId="0" applyFont="1" applyFill="1" applyBorder="1" applyAlignment="1">
      <alignment horizontal="right"/>
    </xf>
    <xf numFmtId="0" fontId="6" fillId="10" borderId="7" xfId="0" applyFont="1" applyFill="1" applyBorder="1" applyAlignment="1">
      <alignment horizontal="right"/>
    </xf>
    <xf numFmtId="0" fontId="7" fillId="0" borderId="0" xfId="0" applyFont="1" applyAlignment="1">
      <alignment vertical="top" wrapText="1"/>
    </xf>
    <xf numFmtId="0" fontId="1" fillId="0" borderId="6" xfId="0" applyFont="1" applyBorder="1"/>
    <xf numFmtId="0" fontId="0" fillId="0" borderId="6" xfId="0" applyBorder="1"/>
    <xf numFmtId="0" fontId="8" fillId="0" borderId="0" xfId="0" applyFont="1"/>
    <xf numFmtId="0" fontId="0" fillId="0" borderId="9" xfId="0" applyBorder="1"/>
    <xf numFmtId="0" fontId="9" fillId="10" borderId="7" xfId="0" applyFont="1" applyFill="1" applyBorder="1" applyAlignment="1">
      <alignment horizontal="left"/>
    </xf>
    <xf numFmtId="0" fontId="9" fillId="10" borderId="8" xfId="0" applyFont="1" applyFill="1" applyBorder="1" applyAlignment="1">
      <alignment horizontal="left"/>
    </xf>
    <xf numFmtId="0" fontId="10" fillId="11" borderId="0" xfId="0" applyFont="1" applyFill="1" applyAlignment="1">
      <alignment horizontal="left"/>
    </xf>
    <xf numFmtId="0" fontId="11" fillId="11" borderId="5" xfId="0" applyFont="1" applyFill="1" applyBorder="1" applyAlignment="1">
      <alignment horizontal="left"/>
    </xf>
    <xf numFmtId="0" fontId="10" fillId="11" borderId="9" xfId="0" applyFont="1" applyFill="1" applyBorder="1" applyAlignment="1">
      <alignment horizontal="left"/>
    </xf>
    <xf numFmtId="0" fontId="0" fillId="12" borderId="0" xfId="0" applyFill="1"/>
    <xf numFmtId="0" fontId="12" fillId="0" borderId="0" xfId="0" applyFont="1" applyAlignment="1">
      <alignment vertical="center"/>
    </xf>
    <xf numFmtId="0" fontId="14" fillId="0" borderId="0" xfId="0" applyFont="1" applyAlignment="1">
      <alignment vertical="center"/>
    </xf>
    <xf numFmtId="0" fontId="2" fillId="0" borderId="6" xfId="0" applyFont="1" applyBorder="1"/>
    <xf numFmtId="0" fontId="0" fillId="13" borderId="0" xfId="0" applyFill="1"/>
    <xf numFmtId="0" fontId="13" fillId="0" borderId="0" xfId="0" applyFont="1" applyAlignment="1">
      <alignment vertical="center"/>
    </xf>
    <xf numFmtId="0" fontId="0" fillId="14" borderId="1" xfId="0" applyFill="1" applyBorder="1"/>
    <xf numFmtId="0" fontId="0" fillId="8" borderId="0" xfId="0" applyFill="1" applyAlignment="1">
      <alignment horizontal="center"/>
    </xf>
    <xf numFmtId="0" fontId="0" fillId="0" borderId="0" xfId="0" applyAlignment="1">
      <alignment horizontal="center"/>
    </xf>
    <xf numFmtId="0" fontId="0" fillId="7" borderId="0" xfId="0" applyFill="1" applyAlignment="1">
      <alignment horizontal="center"/>
    </xf>
    <xf numFmtId="0" fontId="0" fillId="8" borderId="0" xfId="0" applyFill="1" applyAlignment="1">
      <alignment horizontal="right" vertical="center" textRotation="90"/>
    </xf>
    <xf numFmtId="0" fontId="0" fillId="0" borderId="0" xfId="0" applyAlignment="1">
      <alignment horizontal="left" wrapText="1"/>
    </xf>
    <xf numFmtId="0" fontId="0" fillId="0" borderId="7" xfId="0" applyBorder="1" applyAlignment="1">
      <alignment horizontal="left" wrapText="1"/>
    </xf>
  </cellXfs>
  <cellStyles count="1">
    <cellStyle name="Normal" xfId="0" builtinId="0"/>
  </cellStyles>
  <dxfs count="5">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LIQUIDITY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'all in one'!$A$73</c:f>
              <c:strCache>
                <c:ptCount val="1"/>
                <c:pt idx="0">
                  <c:v>Money insert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'all in one'!$B$73:$M$73</c:f>
              <c:numCache>
                <c:formatCode>General</c:formatCode>
                <c:ptCount val="12"/>
                <c:pt idx="0">
                  <c:v>0</c:v>
                </c:pt>
                <c:pt idx="1">
                  <c:v>1000</c:v>
                </c:pt>
                <c:pt idx="2">
                  <c:v>2000</c:v>
                </c:pt>
                <c:pt idx="3">
                  <c:v>1000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421-40B0-9A7D-9921830B6A80}"/>
            </c:ext>
          </c:extLst>
        </c:ser>
        <c:dLbls>
          <c:showLegendKey val="0"/>
          <c:showVal val="0"/>
          <c:showCatName val="0"/>
          <c:showSerName val="0"/>
          <c:showPercent val="0"/>
          <c:showBubbleSize val="0"/>
        </c:dLbls>
        <c:gapWidth val="150"/>
        <c:axId val="715129192"/>
        <c:axId val="715130832"/>
      </c:barChart>
      <c:lineChart>
        <c:grouping val="standard"/>
        <c:varyColors val="0"/>
        <c:ser>
          <c:idx val="1"/>
          <c:order val="1"/>
          <c:tx>
            <c:strRef>
              <c:f>'all in one'!$A$74</c:f>
              <c:strCache>
                <c:ptCount val="1"/>
                <c:pt idx="0">
                  <c:v>Resulting liquidity</c:v>
                </c:pt>
              </c:strCache>
            </c:strRef>
          </c:tx>
          <c:spPr>
            <a:ln w="28575" cap="rnd">
              <a:solidFill>
                <a:srgbClr val="00B050"/>
              </a:solidFill>
              <a:round/>
            </a:ln>
            <a:effectLst/>
          </c:spPr>
          <c:marker>
            <c:symbol val="none"/>
          </c:marker>
          <c:val>
            <c:numRef>
              <c:f>'all in one'!$B$74:$M$74</c:f>
              <c:numCache>
                <c:formatCode>General</c:formatCode>
                <c:ptCount val="12"/>
                <c:pt idx="0">
                  <c:v>1028</c:v>
                </c:pt>
                <c:pt idx="1">
                  <c:v>756</c:v>
                </c:pt>
                <c:pt idx="2">
                  <c:v>784</c:v>
                </c:pt>
                <c:pt idx="3">
                  <c:v>912</c:v>
                </c:pt>
                <c:pt idx="4">
                  <c:v>1589</c:v>
                </c:pt>
                <c:pt idx="5">
                  <c:v>1896</c:v>
                </c:pt>
                <c:pt idx="6">
                  <c:v>2573</c:v>
                </c:pt>
                <c:pt idx="7">
                  <c:v>3250</c:v>
                </c:pt>
                <c:pt idx="8">
                  <c:v>3827</c:v>
                </c:pt>
                <c:pt idx="9">
                  <c:v>3864</c:v>
                </c:pt>
                <c:pt idx="10">
                  <c:v>4541</c:v>
                </c:pt>
                <c:pt idx="11">
                  <c:v>5118</c:v>
                </c:pt>
              </c:numCache>
            </c:numRef>
          </c:val>
          <c:smooth val="0"/>
          <c:extLst>
            <c:ext xmlns:c16="http://schemas.microsoft.com/office/drawing/2014/chart" uri="{C3380CC4-5D6E-409C-BE32-E72D297353CC}">
              <c16:uniqueId val="{00000002-1421-40B0-9A7D-9921830B6A80}"/>
            </c:ext>
          </c:extLst>
        </c:ser>
        <c:ser>
          <c:idx val="2"/>
          <c:order val="2"/>
          <c:tx>
            <c:strRef>
              <c:f>'all in one'!$A$71</c:f>
              <c:strCache>
                <c:ptCount val="1"/>
                <c:pt idx="0">
                  <c:v>Liquidity before inserting money</c:v>
                </c:pt>
              </c:strCache>
            </c:strRef>
          </c:tx>
          <c:spPr>
            <a:ln w="28575" cap="rnd">
              <a:solidFill>
                <a:schemeClr val="accent3"/>
              </a:solidFill>
              <a:round/>
            </a:ln>
            <a:effectLst/>
          </c:spPr>
          <c:marker>
            <c:symbol val="none"/>
          </c:marker>
          <c:val>
            <c:numRef>
              <c:f>'all in one'!$B$71:$M$71</c:f>
              <c:numCache>
                <c:formatCode>General</c:formatCode>
                <c:ptCount val="12"/>
                <c:pt idx="0">
                  <c:v>1028</c:v>
                </c:pt>
                <c:pt idx="1">
                  <c:v>-244</c:v>
                </c:pt>
                <c:pt idx="2">
                  <c:v>-2216</c:v>
                </c:pt>
                <c:pt idx="3">
                  <c:v>-3088</c:v>
                </c:pt>
                <c:pt idx="4">
                  <c:v>-2411</c:v>
                </c:pt>
                <c:pt idx="5">
                  <c:v>-2104</c:v>
                </c:pt>
                <c:pt idx="6">
                  <c:v>-1427</c:v>
                </c:pt>
                <c:pt idx="7">
                  <c:v>-750</c:v>
                </c:pt>
                <c:pt idx="8">
                  <c:v>-173</c:v>
                </c:pt>
                <c:pt idx="9">
                  <c:v>-136</c:v>
                </c:pt>
                <c:pt idx="10">
                  <c:v>541</c:v>
                </c:pt>
                <c:pt idx="11">
                  <c:v>1118</c:v>
                </c:pt>
              </c:numCache>
            </c:numRef>
          </c:val>
          <c:smooth val="0"/>
          <c:extLst>
            <c:ext xmlns:c16="http://schemas.microsoft.com/office/drawing/2014/chart" uri="{C3380CC4-5D6E-409C-BE32-E72D297353CC}">
              <c16:uniqueId val="{00000003-1421-40B0-9A7D-9921830B6A80}"/>
            </c:ext>
          </c:extLst>
        </c:ser>
        <c:dLbls>
          <c:showLegendKey val="0"/>
          <c:showVal val="0"/>
          <c:showCatName val="0"/>
          <c:showSerName val="0"/>
          <c:showPercent val="0"/>
          <c:showBubbleSize val="0"/>
        </c:dLbls>
        <c:marker val="1"/>
        <c:smooth val="0"/>
        <c:axId val="715129192"/>
        <c:axId val="715130832"/>
      </c:lineChart>
      <c:catAx>
        <c:axId val="71512919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130832"/>
        <c:crosses val="autoZero"/>
        <c:auto val="1"/>
        <c:lblAlgn val="ctr"/>
        <c:lblOffset val="100"/>
        <c:noMultiLvlLbl val="0"/>
      </c:catAx>
      <c:valAx>
        <c:axId val="715130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12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O$3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5</xdr:col>
      <xdr:colOff>213359</xdr:colOff>
      <xdr:row>3</xdr:row>
      <xdr:rowOff>54428</xdr:rowOff>
    </xdr:from>
    <xdr:to>
      <xdr:col>10</xdr:col>
      <xdr:colOff>696685</xdr:colOff>
      <xdr:row>15</xdr:row>
      <xdr:rowOff>106296</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7620</xdr:colOff>
          <xdr:row>76</xdr:row>
          <xdr:rowOff>38100</xdr:rowOff>
        </xdr:from>
        <xdr:to>
          <xdr:col>6</xdr:col>
          <xdr:colOff>533400</xdr:colOff>
          <xdr:row>78</xdr:row>
          <xdr:rowOff>144780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Breakeven by increasing rents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76</xdr:row>
          <xdr:rowOff>38100</xdr:rowOff>
        </xdr:from>
        <xdr:to>
          <xdr:col>10</xdr:col>
          <xdr:colOff>624840</xdr:colOff>
          <xdr:row>78</xdr:row>
          <xdr:rowOff>144780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Breakeven by renovation cut</a:t>
              </a:r>
            </a:p>
          </xdr:txBody>
        </xdr:sp>
        <xdr:clientData fPrintsWithSheet="0"/>
      </xdr:twoCellAnchor>
    </mc:Choice>
    <mc:Fallback/>
  </mc:AlternateContent>
  <xdr:twoCellAnchor>
    <xdr:from>
      <xdr:col>4</xdr:col>
      <xdr:colOff>57872</xdr:colOff>
      <xdr:row>81</xdr:row>
      <xdr:rowOff>135038</xdr:rowOff>
    </xdr:from>
    <xdr:to>
      <xdr:col>10</xdr:col>
      <xdr:colOff>424542</xdr:colOff>
      <xdr:row>88</xdr:row>
      <xdr:rowOff>57873</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413643" y="16986124"/>
          <a:ext cx="6745699" cy="1218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results of breakeven was not displayed here(cell B77 B78),because I want to keep the previous result</a:t>
          </a:r>
          <a:r>
            <a:rPr lang="en-US" sz="1100" baseline="0"/>
            <a:t> of liquidity previous step and other steps link to this cells may be influented.</a:t>
          </a:r>
          <a:r>
            <a:rPr lang="en-US" sz="1100"/>
            <a:t> If you want to</a:t>
          </a:r>
          <a:r>
            <a:rPr lang="en-US" sz="1100" baseline="0"/>
            <a:t> know the logic and result of breakeven analysis, p</a:t>
          </a:r>
          <a:r>
            <a:rPr lang="en-US" sz="1100"/>
            <a:t>ress the buttoms above (macros are there).</a:t>
          </a:r>
          <a:r>
            <a:rPr lang="en-US" sz="1100" baseline="0"/>
            <a:t> Also, the result of breakeven analysis is brought to the "output" sheet.</a:t>
          </a:r>
        </a:p>
        <a:p>
          <a:r>
            <a:rPr lang="en-US" sz="1100" baseline="0"/>
            <a:t>!!!Make sure value of cell B77,D15 returns to original value (0%, -4000 respectively) before pressing the breakeven buttons!!!</a:t>
          </a:r>
          <a:endParaRPr lang="en-US" sz="1100"/>
        </a:p>
      </xdr:txBody>
    </xdr:sp>
    <xdr:clientData/>
  </xdr:twoCellAnchor>
  <xdr:twoCellAnchor>
    <xdr:from>
      <xdr:col>2</xdr:col>
      <xdr:colOff>0</xdr:colOff>
      <xdr:row>77</xdr:row>
      <xdr:rowOff>119743</xdr:rowOff>
    </xdr:from>
    <xdr:to>
      <xdr:col>7</xdr:col>
      <xdr:colOff>154122</xdr:colOff>
      <xdr:row>81</xdr:row>
      <xdr:rowOff>135038</xdr:rowOff>
    </xdr:to>
    <xdr:cxnSp macro="">
      <xdr:nvCxnSpPr>
        <xdr:cNvPr id="6" name="Straight Arrow Connector 5">
          <a:extLst>
            <a:ext uri="{FF2B5EF4-FFF2-40B4-BE49-F238E27FC236}">
              <a16:creationId xmlns:a16="http://schemas.microsoft.com/office/drawing/2014/main" id="{00000000-0008-0000-0000-000006000000}"/>
            </a:ext>
          </a:extLst>
        </xdr:cNvPr>
        <xdr:cNvCxnSpPr>
          <a:endCxn id="5" idx="0"/>
        </xdr:cNvCxnSpPr>
      </xdr:nvCxnSpPr>
      <xdr:spPr>
        <a:xfrm>
          <a:off x="3287486" y="16230600"/>
          <a:ext cx="5499007" cy="7555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54428</xdr:colOff>
      <xdr:row>78</xdr:row>
      <xdr:rowOff>163286</xdr:rowOff>
    </xdr:from>
    <xdr:to>
      <xdr:col>7</xdr:col>
      <xdr:colOff>154122</xdr:colOff>
      <xdr:row>81</xdr:row>
      <xdr:rowOff>135038</xdr:rowOff>
    </xdr:to>
    <xdr:cxnSp macro="">
      <xdr:nvCxnSpPr>
        <xdr:cNvPr id="7" name="Straight Arrow Connector 6">
          <a:extLst>
            <a:ext uri="{FF2B5EF4-FFF2-40B4-BE49-F238E27FC236}">
              <a16:creationId xmlns:a16="http://schemas.microsoft.com/office/drawing/2014/main" id="{00000000-0008-0000-0000-000007000000}"/>
            </a:ext>
          </a:extLst>
        </xdr:cNvPr>
        <xdr:cNvCxnSpPr>
          <a:endCxn id="5" idx="0"/>
        </xdr:cNvCxnSpPr>
      </xdr:nvCxnSpPr>
      <xdr:spPr>
        <a:xfrm>
          <a:off x="3341914" y="16459200"/>
          <a:ext cx="5444579" cy="526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327949</xdr:colOff>
      <xdr:row>78</xdr:row>
      <xdr:rowOff>154329</xdr:rowOff>
    </xdr:from>
    <xdr:to>
      <xdr:col>7</xdr:col>
      <xdr:colOff>154122</xdr:colOff>
      <xdr:row>81</xdr:row>
      <xdr:rowOff>135038</xdr:rowOff>
    </xdr:to>
    <xdr:cxnSp macro="">
      <xdr:nvCxnSpPr>
        <xdr:cNvPr id="8" name="Straight Arrow Connector 7">
          <a:extLst>
            <a:ext uri="{FF2B5EF4-FFF2-40B4-BE49-F238E27FC236}">
              <a16:creationId xmlns:a16="http://schemas.microsoft.com/office/drawing/2014/main" id="{00000000-0008-0000-0000-000008000000}"/>
            </a:ext>
          </a:extLst>
        </xdr:cNvPr>
        <xdr:cNvCxnSpPr>
          <a:endCxn id="5" idx="0"/>
        </xdr:cNvCxnSpPr>
      </xdr:nvCxnSpPr>
      <xdr:spPr>
        <a:xfrm>
          <a:off x="6892035" y="16450243"/>
          <a:ext cx="1894458" cy="5358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154122</xdr:colOff>
      <xdr:row>78</xdr:row>
      <xdr:rowOff>144683</xdr:rowOff>
    </xdr:from>
    <xdr:to>
      <xdr:col>9</xdr:col>
      <xdr:colOff>316232</xdr:colOff>
      <xdr:row>81</xdr:row>
      <xdr:rowOff>135038</xdr:rowOff>
    </xdr:to>
    <xdr:cxnSp macro="">
      <xdr:nvCxnSpPr>
        <xdr:cNvPr id="9" name="Straight Arrow Connector 8">
          <a:extLst>
            <a:ext uri="{FF2B5EF4-FFF2-40B4-BE49-F238E27FC236}">
              <a16:creationId xmlns:a16="http://schemas.microsoft.com/office/drawing/2014/main" id="{00000000-0008-0000-0000-000009000000}"/>
            </a:ext>
          </a:extLst>
        </xdr:cNvPr>
        <xdr:cNvCxnSpPr>
          <a:endCxn id="5" idx="0"/>
        </xdr:cNvCxnSpPr>
      </xdr:nvCxnSpPr>
      <xdr:spPr>
        <a:xfrm flipH="1">
          <a:off x="8786493" y="16440597"/>
          <a:ext cx="2230396" cy="54552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250371</xdr:colOff>
      <xdr:row>23</xdr:row>
      <xdr:rowOff>10885</xdr:rowOff>
    </xdr:from>
    <xdr:to>
      <xdr:col>23</xdr:col>
      <xdr:colOff>261257</xdr:colOff>
      <xdr:row>25</xdr:row>
      <xdr:rowOff>119743</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095514" y="5889171"/>
          <a:ext cx="7108372" cy="4789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from the sensitive analysis, we can see that fter May, changing time of new refridgerator will not result in differences.</a:t>
          </a:r>
          <a:endParaRPr lang="en-US" sz="1100"/>
        </a:p>
      </xdr:txBody>
    </xdr:sp>
    <xdr:clientData/>
  </xdr:twoCellAnchor>
  <xdr:twoCellAnchor>
    <xdr:from>
      <xdr:col>4</xdr:col>
      <xdr:colOff>359229</xdr:colOff>
      <xdr:row>8</xdr:row>
      <xdr:rowOff>163286</xdr:rowOff>
    </xdr:from>
    <xdr:to>
      <xdr:col>4</xdr:col>
      <xdr:colOff>979715</xdr:colOff>
      <xdr:row>12</xdr:row>
      <xdr:rowOff>228600</xdr:rowOff>
    </xdr:to>
    <xdr:sp macro="" textlink="">
      <xdr:nvSpPr>
        <xdr:cNvPr id="13" name="Arrow: Striped Right 12">
          <a:extLst>
            <a:ext uri="{FF2B5EF4-FFF2-40B4-BE49-F238E27FC236}">
              <a16:creationId xmlns:a16="http://schemas.microsoft.com/office/drawing/2014/main" id="{00000000-0008-0000-0000-00000D000000}"/>
            </a:ext>
          </a:extLst>
        </xdr:cNvPr>
        <xdr:cNvSpPr/>
      </xdr:nvSpPr>
      <xdr:spPr>
        <a:xfrm>
          <a:off x="5715000" y="2394857"/>
          <a:ext cx="620486" cy="1240972"/>
        </a:xfrm>
        <a:prstGeom prst="stripedRight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274320</xdr:colOff>
          <xdr:row>34</xdr:row>
          <xdr:rowOff>7620</xdr:rowOff>
        </xdr:from>
        <xdr:to>
          <xdr:col>14</xdr:col>
          <xdr:colOff>609600</xdr:colOff>
          <xdr:row>35</xdr:row>
          <xdr:rowOff>38100</xdr:rowOff>
        </xdr:to>
        <xdr:sp macro="" textlink="">
          <xdr:nvSpPr>
            <xdr:cNvPr id="1051" name="Option 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34</xdr:row>
          <xdr:rowOff>167640</xdr:rowOff>
        </xdr:from>
        <xdr:to>
          <xdr:col>14</xdr:col>
          <xdr:colOff>617220</xdr:colOff>
          <xdr:row>36</xdr:row>
          <xdr:rowOff>7620</xdr:rowOff>
        </xdr:to>
        <xdr:sp macro="" textlink="">
          <xdr:nvSpPr>
            <xdr:cNvPr id="1052" name="Option 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281940</xdr:colOff>
          <xdr:row>35</xdr:row>
          <xdr:rowOff>167640</xdr:rowOff>
        </xdr:from>
        <xdr:to>
          <xdr:col>14</xdr:col>
          <xdr:colOff>624840</xdr:colOff>
          <xdr:row>37</xdr:row>
          <xdr:rowOff>15240</xdr:rowOff>
        </xdr:to>
        <xdr:sp macro="" textlink="">
          <xdr:nvSpPr>
            <xdr:cNvPr id="1053" name="Option 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99060</xdr:colOff>
          <xdr:row>35</xdr:row>
          <xdr:rowOff>76200</xdr:rowOff>
        </xdr:from>
        <xdr:to>
          <xdr:col>20</xdr:col>
          <xdr:colOff>480060</xdr:colOff>
          <xdr:row>38</xdr:row>
          <xdr:rowOff>53340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PDF</a:t>
              </a:r>
            </a:p>
          </xdr:txBody>
        </xdr:sp>
        <xdr:clientData fPrintsWithSheet="0"/>
      </xdr:twoCellAnchor>
    </mc:Choice>
    <mc:Fallback/>
  </mc:AlternateContent>
  <xdr:twoCellAnchor editAs="oneCell">
    <xdr:from>
      <xdr:col>11</xdr:col>
      <xdr:colOff>552014</xdr:colOff>
      <xdr:row>2</xdr:row>
      <xdr:rowOff>152400</xdr:rowOff>
    </xdr:from>
    <xdr:to>
      <xdr:col>24</xdr:col>
      <xdr:colOff>327660</xdr:colOff>
      <xdr:row>24</xdr:row>
      <xdr:rowOff>25400</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7614" y="660400"/>
          <a:ext cx="7700446" cy="378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165099</xdr:colOff>
      <xdr:row>0</xdr:row>
      <xdr:rowOff>63500</xdr:rowOff>
    </xdr:from>
    <xdr:to>
      <xdr:col>23</xdr:col>
      <xdr:colOff>263070</xdr:colOff>
      <xdr:row>5</xdr:row>
      <xdr:rowOff>59871</xdr:rowOff>
    </xdr:to>
    <xdr:sp macro="" textlink="">
      <xdr:nvSpPr>
        <xdr:cNvPr id="10" name="Arrow: Right 9">
          <a:extLst>
            <a:ext uri="{FF2B5EF4-FFF2-40B4-BE49-F238E27FC236}">
              <a16:creationId xmlns:a16="http://schemas.microsoft.com/office/drawing/2014/main" id="{00000000-0008-0000-0300-00000A000000}"/>
            </a:ext>
          </a:extLst>
        </xdr:cNvPr>
        <xdr:cNvSpPr/>
      </xdr:nvSpPr>
      <xdr:spPr>
        <a:xfrm>
          <a:off x="10528299" y="63500"/>
          <a:ext cx="3755571" cy="1037771"/>
        </a:xfrm>
        <a:prstGeom prst="rightArrow">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baseline="0">
              <a:solidFill>
                <a:schemeClr val="dk1"/>
              </a:solidFill>
              <a:effectLst/>
              <a:latin typeface="+mn-lt"/>
              <a:ea typeface="+mn-ea"/>
              <a:cs typeface="+mn-cs"/>
            </a:rPr>
            <a:t>After May, changing time of new refridgerator will not result in diferences in money needed to insert.</a:t>
          </a:r>
          <a:endParaRPr lang="en-US" sz="1100"/>
        </a:p>
      </xdr:txBody>
    </xdr:sp>
    <xdr:clientData/>
  </xdr:twoCellAnchor>
  <xdr:twoCellAnchor editAs="oneCell">
    <xdr:from>
      <xdr:col>1</xdr:col>
      <xdr:colOff>0</xdr:colOff>
      <xdr:row>26</xdr:row>
      <xdr:rowOff>0</xdr:rowOff>
    </xdr:from>
    <xdr:to>
      <xdr:col>10</xdr:col>
      <xdr:colOff>556260</xdr:colOff>
      <xdr:row>48</xdr:row>
      <xdr:rowOff>22860</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899660"/>
          <a:ext cx="6042660" cy="4046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609599</xdr:colOff>
      <xdr:row>3</xdr:row>
      <xdr:rowOff>0</xdr:rowOff>
    </xdr:from>
    <xdr:to>
      <xdr:col>11</xdr:col>
      <xdr:colOff>67110</xdr:colOff>
      <xdr:row>23</xdr:row>
      <xdr:rowOff>63500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stretch>
          <a:fillRect/>
        </a:stretch>
      </xdr:blipFill>
      <xdr:spPr>
        <a:xfrm>
          <a:off x="609599" y="685800"/>
          <a:ext cx="6163111" cy="3619500"/>
        </a:xfrm>
        <a:prstGeom prst="rect">
          <a:avLst/>
        </a:prstGeom>
      </xdr:spPr>
    </xdr:pic>
    <xdr:clientData/>
  </xdr:twoCellAnchor>
  <xdr:twoCellAnchor editAs="oneCell">
    <xdr:from>
      <xdr:col>12</xdr:col>
      <xdr:colOff>0</xdr:colOff>
      <xdr:row>27</xdr:row>
      <xdr:rowOff>0</xdr:rowOff>
    </xdr:from>
    <xdr:to>
      <xdr:col>17</xdr:col>
      <xdr:colOff>45720</xdr:colOff>
      <xdr:row>30</xdr:row>
      <xdr:rowOff>7620</xdr:rowOff>
    </xdr:to>
    <xdr:pic>
      <xdr:nvPicPr>
        <xdr:cNvPr id="14" name="Picture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15200" y="5082540"/>
          <a:ext cx="309372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DD79-A05A-4963-AFFC-66358F72B8C4}">
  <sheetPr codeName="Sheet1">
    <tabColor rgb="FF00B050"/>
  </sheetPr>
  <dimension ref="A1:Y79"/>
  <sheetViews>
    <sheetView tabSelected="1" zoomScale="70" zoomScaleNormal="70" workbookViewId="0">
      <selection activeCell="B79" sqref="B79"/>
    </sheetView>
  </sheetViews>
  <sheetFormatPr defaultRowHeight="14.4" x14ac:dyDescent="0.3"/>
  <cols>
    <col min="1" max="1" width="32.88671875" customWidth="1"/>
    <col min="2" max="4" width="15" customWidth="1"/>
    <col min="5" max="5" width="17.5546875" customWidth="1"/>
    <col min="6" max="11" width="15" customWidth="1"/>
    <col min="12" max="12" width="10.88671875" customWidth="1"/>
    <col min="13" max="13" width="8.21875" customWidth="1"/>
    <col min="14" max="27" width="9.44140625" customWidth="1"/>
    <col min="28" max="28" width="6.6640625" customWidth="1"/>
  </cols>
  <sheetData>
    <row r="1" spans="1:25" s="17" customFormat="1" ht="46.2" x14ac:dyDescent="0.85">
      <c r="A1" s="14" t="s">
        <v>69</v>
      </c>
      <c r="B1"/>
      <c r="C1"/>
      <c r="D1"/>
      <c r="E1"/>
      <c r="F1" s="18" t="s">
        <v>70</v>
      </c>
    </row>
    <row r="2" spans="1:25" s="17" customFormat="1" ht="18" customHeight="1" x14ac:dyDescent="0.85">
      <c r="A2" s="14"/>
      <c r="B2" s="4"/>
      <c r="C2" t="s">
        <v>83</v>
      </c>
      <c r="D2"/>
      <c r="E2"/>
      <c r="F2" s="18"/>
    </row>
    <row r="3" spans="1:25" s="17" customFormat="1" ht="18" customHeight="1" x14ac:dyDescent="0.85">
      <c r="A3" s="14"/>
      <c r="B3" s="8"/>
      <c r="C3" t="s">
        <v>72</v>
      </c>
      <c r="D3"/>
      <c r="E3"/>
      <c r="F3" s="18"/>
    </row>
    <row r="4" spans="1:25" s="17" customFormat="1" ht="18" customHeight="1" x14ac:dyDescent="0.85">
      <c r="A4" s="14"/>
      <c r="B4"/>
      <c r="C4" t="s">
        <v>55</v>
      </c>
      <c r="D4"/>
      <c r="E4"/>
      <c r="F4" s="18"/>
      <c r="M4" s="16" t="s">
        <v>57</v>
      </c>
      <c r="N4" s="16"/>
      <c r="O4" s="16"/>
    </row>
    <row r="5" spans="1:25" s="17" customFormat="1" x14ac:dyDescent="0.3">
      <c r="A5"/>
      <c r="B5"/>
      <c r="C5"/>
      <c r="D5"/>
      <c r="E5"/>
      <c r="M5" s="45" t="s">
        <v>59</v>
      </c>
      <c r="N5" s="45"/>
      <c r="O5" s="45"/>
      <c r="P5" s="45"/>
      <c r="Q5" s="45"/>
      <c r="R5" s="45"/>
      <c r="S5" s="45"/>
      <c r="T5" s="45"/>
      <c r="U5" s="45"/>
      <c r="V5" s="45"/>
      <c r="W5" s="45"/>
      <c r="X5" s="45"/>
      <c r="Y5" s="45"/>
    </row>
    <row r="6" spans="1:25" s="17" customFormat="1" x14ac:dyDescent="0.3">
      <c r="A6" s="5"/>
      <c r="B6" s="10" t="s">
        <v>28</v>
      </c>
      <c r="C6" s="10" t="s">
        <v>30</v>
      </c>
      <c r="D6" s="10" t="s">
        <v>29</v>
      </c>
      <c r="E6" s="20"/>
      <c r="M6" s="21">
        <f>N73</f>
        <v>4000</v>
      </c>
      <c r="N6" s="21" t="s">
        <v>0</v>
      </c>
      <c r="O6" s="21" t="s">
        <v>1</v>
      </c>
      <c r="P6" s="21" t="s">
        <v>2</v>
      </c>
      <c r="Q6" s="21" t="s">
        <v>3</v>
      </c>
      <c r="R6" s="21" t="s">
        <v>4</v>
      </c>
      <c r="S6" s="21" t="s">
        <v>5</v>
      </c>
      <c r="T6" s="21" t="s">
        <v>6</v>
      </c>
      <c r="U6" s="21" t="s">
        <v>7</v>
      </c>
      <c r="V6" s="21" t="s">
        <v>8</v>
      </c>
      <c r="W6" s="21" t="s">
        <v>9</v>
      </c>
      <c r="X6" s="21" t="s">
        <v>10</v>
      </c>
      <c r="Y6" s="21" t="s">
        <v>11</v>
      </c>
    </row>
    <row r="7" spans="1:25" s="17" customFormat="1" ht="22.8" customHeight="1" x14ac:dyDescent="0.3">
      <c r="A7" s="5" t="s">
        <v>32</v>
      </c>
      <c r="B7" s="6" t="s">
        <v>0</v>
      </c>
      <c r="C7" s="6" t="s">
        <v>2</v>
      </c>
      <c r="D7" s="6" t="s">
        <v>4</v>
      </c>
      <c r="E7" s="20"/>
      <c r="L7" s="48" t="s">
        <v>60</v>
      </c>
      <c r="M7" s="19">
        <v>0</v>
      </c>
      <c r="N7" s="17">
        <f t="dataTable" ref="N7:Y22" dt2D="1" dtr="1" r1="B14" r2="B78"/>
        <v>4000</v>
      </c>
      <c r="O7" s="17">
        <v>4000</v>
      </c>
      <c r="P7" s="17">
        <v>4000</v>
      </c>
      <c r="Q7" s="17">
        <v>4000</v>
      </c>
      <c r="R7" s="17">
        <v>3000</v>
      </c>
      <c r="S7" s="17">
        <v>3000</v>
      </c>
      <c r="T7" s="17">
        <v>3000</v>
      </c>
      <c r="U7" s="17">
        <v>3000</v>
      </c>
      <c r="V7" s="17">
        <v>3000</v>
      </c>
      <c r="W7" s="17">
        <v>3000</v>
      </c>
      <c r="X7" s="17">
        <v>3000</v>
      </c>
      <c r="Y7" s="17">
        <v>3000</v>
      </c>
    </row>
    <row r="8" spans="1:25" s="17" customFormat="1" ht="22.8" customHeight="1" x14ac:dyDescent="0.3">
      <c r="A8" s="5" t="s">
        <v>35</v>
      </c>
      <c r="B8" s="7"/>
      <c r="C8" s="6">
        <f>440*('all in one'!$B$78+1)</f>
        <v>440</v>
      </c>
      <c r="D8" s="7"/>
      <c r="E8" s="20"/>
      <c r="L8" s="48"/>
      <c r="M8" s="19">
        <v>0.1</v>
      </c>
      <c r="N8" s="17">
        <v>3000</v>
      </c>
      <c r="O8" s="17">
        <v>3000</v>
      </c>
      <c r="P8" s="17">
        <v>3000</v>
      </c>
      <c r="Q8" s="17">
        <v>3000</v>
      </c>
      <c r="R8" s="17">
        <v>3000</v>
      </c>
      <c r="S8" s="17">
        <v>3000</v>
      </c>
      <c r="T8" s="17">
        <v>3000</v>
      </c>
      <c r="U8" s="17">
        <v>3000</v>
      </c>
      <c r="V8" s="17">
        <v>3000</v>
      </c>
      <c r="W8" s="17">
        <v>3000</v>
      </c>
      <c r="X8" s="17">
        <v>3000</v>
      </c>
      <c r="Y8" s="17">
        <v>3000</v>
      </c>
    </row>
    <row r="9" spans="1:25" s="17" customFormat="1" ht="22.8" customHeight="1" x14ac:dyDescent="0.3">
      <c r="A9" s="5" t="s">
        <v>36</v>
      </c>
      <c r="B9" s="6">
        <f>345*('all in one'!$B$78+1)</f>
        <v>345</v>
      </c>
      <c r="C9" s="7"/>
      <c r="D9" s="6">
        <f>600*('all in one'!$B$78+1)</f>
        <v>600</v>
      </c>
      <c r="E9" s="20"/>
      <c r="L9" s="48"/>
      <c r="M9" s="19">
        <v>0.2</v>
      </c>
      <c r="N9" s="17">
        <v>3000</v>
      </c>
      <c r="O9" s="17">
        <v>3000</v>
      </c>
      <c r="P9" s="17">
        <v>3000</v>
      </c>
      <c r="Q9" s="17">
        <v>3000</v>
      </c>
      <c r="R9" s="17">
        <v>2000</v>
      </c>
      <c r="S9" s="17">
        <v>2000</v>
      </c>
      <c r="T9" s="17">
        <v>2000</v>
      </c>
      <c r="U9" s="17">
        <v>2000</v>
      </c>
      <c r="V9" s="17">
        <v>2000</v>
      </c>
      <c r="W9" s="17">
        <v>2000</v>
      </c>
      <c r="X9" s="17">
        <v>2000</v>
      </c>
      <c r="Y9" s="17">
        <v>2000</v>
      </c>
    </row>
    <row r="10" spans="1:25" s="17" customFormat="1" ht="22.8" customHeight="1" x14ac:dyDescent="0.3">
      <c r="A10" s="5" t="s">
        <v>34</v>
      </c>
      <c r="B10" s="6">
        <v>1</v>
      </c>
      <c r="C10" s="6">
        <v>2</v>
      </c>
      <c r="D10" s="6">
        <v>3</v>
      </c>
      <c r="E10" s="20"/>
      <c r="L10" s="48"/>
      <c r="M10" s="19">
        <v>0.3</v>
      </c>
      <c r="N10" s="17">
        <v>3000</v>
      </c>
      <c r="O10" s="17">
        <v>3000</v>
      </c>
      <c r="P10" s="17">
        <v>3000</v>
      </c>
      <c r="Q10" s="17">
        <v>3000</v>
      </c>
      <c r="R10" s="17">
        <v>2000</v>
      </c>
      <c r="S10" s="17">
        <v>2000</v>
      </c>
      <c r="T10" s="17">
        <v>2000</v>
      </c>
      <c r="U10" s="17">
        <v>2000</v>
      </c>
      <c r="V10" s="17">
        <v>2000</v>
      </c>
      <c r="W10" s="17">
        <v>2000</v>
      </c>
      <c r="X10" s="17">
        <v>2000</v>
      </c>
      <c r="Y10" s="17">
        <v>2000</v>
      </c>
    </row>
    <row r="11" spans="1:25" s="17" customFormat="1" ht="22.8" customHeight="1" x14ac:dyDescent="0.3">
      <c r="A11" s="5" t="s">
        <v>33</v>
      </c>
      <c r="B11" s="6">
        <v>-20</v>
      </c>
      <c r="C11" s="6">
        <v>-20</v>
      </c>
      <c r="D11" s="6">
        <v>-17</v>
      </c>
      <c r="E11" s="20"/>
      <c r="L11" s="48"/>
      <c r="M11" s="19">
        <v>0.4</v>
      </c>
      <c r="N11" s="17">
        <v>3000</v>
      </c>
      <c r="O11" s="17">
        <v>3000</v>
      </c>
      <c r="P11" s="17">
        <v>3000</v>
      </c>
      <c r="Q11" s="17">
        <v>3000</v>
      </c>
      <c r="R11" s="17">
        <v>2000</v>
      </c>
      <c r="S11" s="17">
        <v>2000</v>
      </c>
      <c r="T11" s="17">
        <v>2000</v>
      </c>
      <c r="U11" s="17">
        <v>2000</v>
      </c>
      <c r="V11" s="17">
        <v>2000</v>
      </c>
      <c r="W11" s="17">
        <v>2000</v>
      </c>
      <c r="X11" s="17">
        <v>2000</v>
      </c>
      <c r="Y11" s="17">
        <v>2000</v>
      </c>
    </row>
    <row r="12" spans="1:25" s="17" customFormat="1" ht="22.8" customHeight="1" x14ac:dyDescent="0.3">
      <c r="A12" s="5" t="s">
        <v>13</v>
      </c>
      <c r="B12" s="6">
        <v>-122</v>
      </c>
      <c r="C12" s="6">
        <v>-202</v>
      </c>
      <c r="D12" s="6">
        <v>-121</v>
      </c>
      <c r="E12" s="20"/>
      <c r="L12" s="48"/>
      <c r="M12" s="19">
        <v>0.5</v>
      </c>
      <c r="N12" s="17">
        <v>2000</v>
      </c>
      <c r="O12" s="17">
        <v>2000</v>
      </c>
      <c r="P12" s="17">
        <v>2000</v>
      </c>
      <c r="Q12" s="17">
        <v>2000</v>
      </c>
      <c r="R12" s="17">
        <v>2000</v>
      </c>
      <c r="S12" s="17">
        <v>2000</v>
      </c>
      <c r="T12" s="17">
        <v>2000</v>
      </c>
      <c r="U12" s="17">
        <v>2000</v>
      </c>
      <c r="V12" s="17">
        <v>2000</v>
      </c>
      <c r="W12" s="17">
        <v>2000</v>
      </c>
      <c r="X12" s="17">
        <v>2000</v>
      </c>
      <c r="Y12" s="17">
        <v>2000</v>
      </c>
    </row>
    <row r="13" spans="1:25" s="17" customFormat="1" ht="22.8" customHeight="1" x14ac:dyDescent="0.3">
      <c r="A13" s="5" t="s">
        <v>31</v>
      </c>
      <c r="B13" s="6">
        <v>-43</v>
      </c>
      <c r="C13" s="7"/>
      <c r="D13" s="6">
        <v>-44</v>
      </c>
      <c r="E13" s="20"/>
      <c r="L13" s="48"/>
      <c r="M13" s="19">
        <v>0.6</v>
      </c>
      <c r="N13" s="17">
        <v>2000</v>
      </c>
      <c r="O13" s="17">
        <v>2000</v>
      </c>
      <c r="P13" s="17">
        <v>2000</v>
      </c>
      <c r="Q13" s="17">
        <v>2000</v>
      </c>
      <c r="R13" s="17">
        <v>2000</v>
      </c>
      <c r="S13" s="17">
        <v>2000</v>
      </c>
      <c r="T13" s="17">
        <v>2000</v>
      </c>
      <c r="U13" s="17">
        <v>2000</v>
      </c>
      <c r="V13" s="17">
        <v>2000</v>
      </c>
      <c r="W13" s="17">
        <v>2000</v>
      </c>
      <c r="X13" s="17">
        <v>2000</v>
      </c>
      <c r="Y13" s="17">
        <v>2000</v>
      </c>
    </row>
    <row r="14" spans="1:25" s="17" customFormat="1" ht="22.8" customHeight="1" x14ac:dyDescent="0.3">
      <c r="A14" s="5" t="s">
        <v>37</v>
      </c>
      <c r="B14" s="6" t="s">
        <v>2</v>
      </c>
      <c r="C14" s="7"/>
      <c r="D14" s="7"/>
      <c r="E14" s="20"/>
      <c r="L14" s="48"/>
      <c r="M14" s="19">
        <v>0.7</v>
      </c>
      <c r="N14" s="17">
        <v>2000</v>
      </c>
      <c r="O14" s="17">
        <v>2000</v>
      </c>
      <c r="P14" s="17">
        <v>2000</v>
      </c>
      <c r="Q14" s="17">
        <v>2000</v>
      </c>
      <c r="R14" s="17">
        <v>1000</v>
      </c>
      <c r="S14" s="17">
        <v>1000</v>
      </c>
      <c r="T14" s="17">
        <v>1000</v>
      </c>
      <c r="U14" s="17">
        <v>1000</v>
      </c>
      <c r="V14" s="17">
        <v>1000</v>
      </c>
      <c r="W14" s="17">
        <v>1000</v>
      </c>
      <c r="X14" s="17">
        <v>1000</v>
      </c>
      <c r="Y14" s="17">
        <v>1000</v>
      </c>
    </row>
    <row r="15" spans="1:25" s="17" customFormat="1" ht="22.8" customHeight="1" x14ac:dyDescent="0.3">
      <c r="A15" s="5" t="s">
        <v>48</v>
      </c>
      <c r="B15" s="6">
        <v>-700</v>
      </c>
      <c r="C15" s="7"/>
      <c r="D15" s="6">
        <v>-4000</v>
      </c>
      <c r="E15" s="20"/>
      <c r="L15" s="48"/>
      <c r="M15" s="19">
        <v>0.8</v>
      </c>
      <c r="N15" s="17">
        <v>2000</v>
      </c>
      <c r="O15" s="17">
        <v>2000</v>
      </c>
      <c r="P15" s="17">
        <v>2000</v>
      </c>
      <c r="Q15" s="17">
        <v>2000</v>
      </c>
      <c r="R15" s="17">
        <v>1000</v>
      </c>
      <c r="S15" s="17">
        <v>1000</v>
      </c>
      <c r="T15" s="17">
        <v>1000</v>
      </c>
      <c r="U15" s="17">
        <v>1000</v>
      </c>
      <c r="V15" s="17">
        <v>1000</v>
      </c>
      <c r="W15" s="17">
        <v>1000</v>
      </c>
      <c r="X15" s="17">
        <v>1000</v>
      </c>
      <c r="Y15" s="17">
        <v>1000</v>
      </c>
    </row>
    <row r="16" spans="1:25" s="17" customFormat="1" ht="22.8" customHeight="1" x14ac:dyDescent="0.3">
      <c r="A16" s="5" t="s">
        <v>49</v>
      </c>
      <c r="B16" s="7"/>
      <c r="C16" s="7"/>
      <c r="D16" s="6">
        <f>VLOOKUP(O34,sc,2,FALSE)</f>
        <v>4</v>
      </c>
      <c r="E16" s="20"/>
      <c r="L16" s="48"/>
      <c r="M16" s="19">
        <v>0.9</v>
      </c>
      <c r="N16" s="17">
        <v>2000</v>
      </c>
      <c r="O16" s="17">
        <v>2000</v>
      </c>
      <c r="P16" s="17">
        <v>2000</v>
      </c>
      <c r="Q16" s="17">
        <v>2000</v>
      </c>
      <c r="R16" s="17">
        <v>1000</v>
      </c>
      <c r="S16" s="17">
        <v>1000</v>
      </c>
      <c r="T16" s="17">
        <v>1000</v>
      </c>
      <c r="U16" s="17">
        <v>1000</v>
      </c>
      <c r="V16" s="17">
        <v>1000</v>
      </c>
      <c r="W16" s="17">
        <v>1000</v>
      </c>
      <c r="X16" s="17">
        <v>1000</v>
      </c>
      <c r="Y16" s="17">
        <v>1000</v>
      </c>
    </row>
    <row r="17" spans="1:25" s="17" customFormat="1" x14ac:dyDescent="0.3">
      <c r="A17"/>
      <c r="B17"/>
      <c r="C17"/>
      <c r="D17"/>
      <c r="E17"/>
      <c r="L17" s="48"/>
      <c r="M17" s="19">
        <v>1</v>
      </c>
      <c r="N17" s="17">
        <v>1000</v>
      </c>
      <c r="O17" s="17">
        <v>1000</v>
      </c>
      <c r="P17" s="17">
        <v>1000</v>
      </c>
      <c r="Q17" s="17">
        <v>1000</v>
      </c>
      <c r="R17" s="17">
        <v>1000</v>
      </c>
      <c r="S17" s="17">
        <v>1000</v>
      </c>
      <c r="T17" s="17">
        <v>1000</v>
      </c>
      <c r="U17" s="17">
        <v>1000</v>
      </c>
      <c r="V17" s="17">
        <v>1000</v>
      </c>
      <c r="W17" s="17">
        <v>1000</v>
      </c>
      <c r="X17" s="17">
        <v>1000</v>
      </c>
      <c r="Y17" s="17">
        <v>1000</v>
      </c>
    </row>
    <row r="18" spans="1:25" s="17" customFormat="1" x14ac:dyDescent="0.3">
      <c r="A18" t="s">
        <v>24</v>
      </c>
      <c r="B18"/>
      <c r="C18"/>
      <c r="D18"/>
      <c r="E18"/>
      <c r="L18" s="48"/>
      <c r="M18" s="19">
        <v>1.1000000000000001</v>
      </c>
      <c r="N18" s="17">
        <v>1000</v>
      </c>
      <c r="O18" s="17">
        <v>1000</v>
      </c>
      <c r="P18" s="17">
        <v>1000</v>
      </c>
      <c r="Q18" s="17">
        <v>1000</v>
      </c>
      <c r="R18" s="17">
        <v>0</v>
      </c>
      <c r="S18" s="17">
        <v>0</v>
      </c>
      <c r="T18" s="17">
        <v>0</v>
      </c>
      <c r="U18" s="17">
        <v>0</v>
      </c>
      <c r="V18" s="17">
        <v>0</v>
      </c>
      <c r="W18" s="17">
        <v>0</v>
      </c>
      <c r="X18" s="17">
        <v>0</v>
      </c>
      <c r="Y18" s="17">
        <v>0</v>
      </c>
    </row>
    <row r="19" spans="1:25" s="17" customFormat="1" x14ac:dyDescent="0.3">
      <c r="A19" s="9"/>
      <c r="B19" s="10" t="s">
        <v>41</v>
      </c>
      <c r="C19" s="10" t="s">
        <v>45</v>
      </c>
      <c r="D19"/>
      <c r="E19"/>
      <c r="L19" s="48"/>
      <c r="M19" s="19">
        <v>1.2</v>
      </c>
      <c r="N19" s="17">
        <v>1000</v>
      </c>
      <c r="O19" s="17">
        <v>1000</v>
      </c>
      <c r="P19" s="17">
        <v>1000</v>
      </c>
      <c r="Q19" s="17">
        <v>1000</v>
      </c>
      <c r="R19" s="17">
        <v>0</v>
      </c>
      <c r="S19" s="17">
        <v>0</v>
      </c>
      <c r="T19" s="17">
        <v>0</v>
      </c>
      <c r="U19" s="17">
        <v>0</v>
      </c>
      <c r="V19" s="17">
        <v>0</v>
      </c>
      <c r="W19" s="17">
        <v>0</v>
      </c>
      <c r="X19" s="17">
        <v>0</v>
      </c>
      <c r="Y19" s="17">
        <v>0</v>
      </c>
    </row>
    <row r="20" spans="1:25" s="17" customFormat="1" x14ac:dyDescent="0.3">
      <c r="A20" s="5" t="s">
        <v>17</v>
      </c>
      <c r="B20" s="7" t="s">
        <v>40</v>
      </c>
      <c r="C20" s="6">
        <v>-10</v>
      </c>
      <c r="D20"/>
      <c r="E20"/>
      <c r="L20" s="48"/>
      <c r="M20" s="19">
        <v>1.3</v>
      </c>
      <c r="N20" s="17">
        <v>1000</v>
      </c>
      <c r="O20" s="17">
        <v>1000</v>
      </c>
      <c r="P20" s="17">
        <v>1000</v>
      </c>
      <c r="Q20" s="17">
        <v>1000</v>
      </c>
      <c r="R20" s="17">
        <v>0</v>
      </c>
      <c r="S20" s="17">
        <v>0</v>
      </c>
      <c r="T20" s="17">
        <v>0</v>
      </c>
      <c r="U20" s="17">
        <v>0</v>
      </c>
      <c r="V20" s="17">
        <v>0</v>
      </c>
      <c r="W20" s="17">
        <v>0</v>
      </c>
      <c r="X20" s="17">
        <v>0</v>
      </c>
      <c r="Y20" s="17">
        <v>0</v>
      </c>
    </row>
    <row r="21" spans="1:25" s="17" customFormat="1" x14ac:dyDescent="0.3">
      <c r="A21" s="5" t="s">
        <v>42</v>
      </c>
      <c r="B21" s="7" t="s">
        <v>40</v>
      </c>
      <c r="C21" s="6">
        <v>-55</v>
      </c>
      <c r="D21"/>
      <c r="E21"/>
      <c r="G21" s="47" t="s">
        <v>56</v>
      </c>
      <c r="H21" s="47"/>
      <c r="I21" s="16"/>
      <c r="L21" s="48"/>
      <c r="M21" s="19">
        <v>1.4</v>
      </c>
      <c r="N21" s="17">
        <v>1000</v>
      </c>
      <c r="O21" s="17">
        <v>1000</v>
      </c>
      <c r="P21" s="17">
        <v>1000</v>
      </c>
      <c r="Q21" s="17">
        <v>0</v>
      </c>
      <c r="R21" s="17">
        <v>0</v>
      </c>
      <c r="S21" s="17">
        <v>0</v>
      </c>
      <c r="T21" s="17">
        <v>0</v>
      </c>
      <c r="U21" s="17">
        <v>0</v>
      </c>
      <c r="V21" s="17">
        <v>0</v>
      </c>
      <c r="W21" s="17">
        <v>0</v>
      </c>
      <c r="X21" s="17">
        <v>0</v>
      </c>
      <c r="Y21" s="17">
        <v>0</v>
      </c>
    </row>
    <row r="22" spans="1:25" s="17" customFormat="1" x14ac:dyDescent="0.3">
      <c r="A22" s="5" t="s">
        <v>43</v>
      </c>
      <c r="B22" s="7" t="s">
        <v>44</v>
      </c>
      <c r="C22" s="6">
        <v>-100</v>
      </c>
      <c r="D22"/>
      <c r="E22"/>
      <c r="G22" s="46" t="s">
        <v>53</v>
      </c>
      <c r="H22" s="46"/>
      <c r="I22" s="15">
        <v>2.44</v>
      </c>
      <c r="L22" s="48"/>
      <c r="M22" s="22">
        <v>1.5</v>
      </c>
      <c r="N22" s="23">
        <v>1000</v>
      </c>
      <c r="O22" s="23">
        <v>1000</v>
      </c>
      <c r="P22" s="23">
        <v>1000</v>
      </c>
      <c r="Q22" s="23">
        <v>0</v>
      </c>
      <c r="R22" s="23">
        <v>0</v>
      </c>
      <c r="S22" s="23">
        <v>0</v>
      </c>
      <c r="T22" s="23">
        <v>0</v>
      </c>
      <c r="U22" s="23">
        <v>0</v>
      </c>
      <c r="V22" s="23">
        <v>0</v>
      </c>
      <c r="W22" s="23">
        <v>0</v>
      </c>
      <c r="X22" s="23">
        <v>0</v>
      </c>
      <c r="Y22" s="23">
        <v>0</v>
      </c>
    </row>
    <row r="23" spans="1:25" s="17" customFormat="1" x14ac:dyDescent="0.3">
      <c r="A23" s="5" t="s">
        <v>18</v>
      </c>
      <c r="B23" s="6" t="s">
        <v>2</v>
      </c>
      <c r="C23" s="6">
        <v>-300</v>
      </c>
      <c r="D23"/>
      <c r="E23"/>
      <c r="G23" s="46" t="s">
        <v>54</v>
      </c>
      <c r="H23" s="46"/>
      <c r="I23">
        <v>4960</v>
      </c>
    </row>
    <row r="24" spans="1:25" s="17" customFormat="1" x14ac:dyDescent="0.3">
      <c r="A24" s="5" t="s">
        <v>19</v>
      </c>
      <c r="B24" s="6" t="s">
        <v>9</v>
      </c>
      <c r="C24" s="6">
        <v>-440</v>
      </c>
      <c r="D24"/>
      <c r="E24"/>
    </row>
    <row r="25" spans="1:25" s="17" customFormat="1" x14ac:dyDescent="0.3">
      <c r="A25" s="5" t="s">
        <v>20</v>
      </c>
      <c r="B25" s="6" t="s">
        <v>5</v>
      </c>
      <c r="C25" s="6">
        <v>-270</v>
      </c>
      <c r="D25"/>
      <c r="E25"/>
    </row>
    <row r="26" spans="1:25" s="17" customFormat="1" x14ac:dyDescent="0.3">
      <c r="A26" s="5" t="s">
        <v>21</v>
      </c>
      <c r="B26" s="6" t="s">
        <v>9</v>
      </c>
      <c r="C26" s="6">
        <v>-200</v>
      </c>
      <c r="D26"/>
      <c r="E26"/>
    </row>
    <row r="27" spans="1:25" s="17" customFormat="1" x14ac:dyDescent="0.3">
      <c r="A27"/>
      <c r="B27"/>
      <c r="C27"/>
      <c r="D27"/>
      <c r="E27"/>
      <c r="H27" s="19"/>
    </row>
    <row r="28" spans="1:25" s="17" customFormat="1" x14ac:dyDescent="0.3">
      <c r="A28"/>
      <c r="B28"/>
      <c r="C28"/>
      <c r="D28"/>
      <c r="E28"/>
      <c r="H28" s="19"/>
    </row>
    <row r="29" spans="1:25" s="17" customFormat="1" x14ac:dyDescent="0.3">
      <c r="A29"/>
      <c r="B29"/>
      <c r="C29"/>
      <c r="D29"/>
      <c r="E29"/>
      <c r="H29" s="19"/>
    </row>
    <row r="30" spans="1:25" s="17" customFormat="1" x14ac:dyDescent="0.3">
      <c r="A30"/>
      <c r="B30"/>
      <c r="C30"/>
      <c r="D30"/>
      <c r="E30"/>
      <c r="H30" s="19"/>
    </row>
    <row r="31" spans="1:25" s="30" customFormat="1" ht="46.2" x14ac:dyDescent="0.85">
      <c r="A31" s="41" t="s">
        <v>71</v>
      </c>
    </row>
    <row r="32" spans="1:25" x14ac:dyDescent="0.3">
      <c r="A32" t="s">
        <v>22</v>
      </c>
    </row>
    <row r="33" spans="1:19" x14ac:dyDescent="0.3">
      <c r="A33" s="1" t="s">
        <v>28</v>
      </c>
      <c r="B33" s="1" t="s">
        <v>0</v>
      </c>
      <c r="C33" s="1" t="s">
        <v>1</v>
      </c>
      <c r="D33" s="1" t="s">
        <v>2</v>
      </c>
      <c r="E33" s="1" t="s">
        <v>3</v>
      </c>
      <c r="F33" s="1" t="s">
        <v>4</v>
      </c>
      <c r="G33" s="1" t="s">
        <v>5</v>
      </c>
      <c r="H33" s="1" t="s">
        <v>6</v>
      </c>
      <c r="I33" s="1" t="s">
        <v>7</v>
      </c>
      <c r="J33" s="1" t="s">
        <v>8</v>
      </c>
      <c r="K33" s="1" t="s">
        <v>9</v>
      </c>
      <c r="L33" s="1" t="s">
        <v>10</v>
      </c>
      <c r="M33" s="1" t="s">
        <v>11</v>
      </c>
      <c r="O33" s="42" t="s">
        <v>88</v>
      </c>
      <c r="P33" s="42"/>
      <c r="Q33" s="42"/>
    </row>
    <row r="34" spans="1:19" x14ac:dyDescent="0.3">
      <c r="A34" t="s">
        <v>38</v>
      </c>
      <c r="B34">
        <f>IFERROR(HLOOKUP(B33,apartment1,3,FALSE),0)</f>
        <v>345</v>
      </c>
      <c r="C34">
        <f t="shared" ref="C34:M34" si="0">IF(B34&lt;&gt;0,B34,IFERROR(HLOOKUP(C33,apartment1,3,FALSE),0))</f>
        <v>345</v>
      </c>
      <c r="D34">
        <f t="shared" si="0"/>
        <v>345</v>
      </c>
      <c r="E34">
        <f t="shared" si="0"/>
        <v>345</v>
      </c>
      <c r="F34">
        <f t="shared" si="0"/>
        <v>345</v>
      </c>
      <c r="G34">
        <f t="shared" si="0"/>
        <v>345</v>
      </c>
      <c r="H34">
        <f t="shared" si="0"/>
        <v>345</v>
      </c>
      <c r="I34">
        <f t="shared" si="0"/>
        <v>345</v>
      </c>
      <c r="J34">
        <f t="shared" si="0"/>
        <v>345</v>
      </c>
      <c r="K34">
        <f t="shared" si="0"/>
        <v>345</v>
      </c>
      <c r="L34">
        <f t="shared" si="0"/>
        <v>345</v>
      </c>
      <c r="M34">
        <f t="shared" si="0"/>
        <v>345</v>
      </c>
      <c r="O34" s="5">
        <v>3</v>
      </c>
      <c r="P34" s="44" t="s">
        <v>100</v>
      </c>
      <c r="Q34" s="44" t="s">
        <v>99</v>
      </c>
      <c r="R34" s="44" t="s">
        <v>104</v>
      </c>
      <c r="S34" s="44" t="s">
        <v>105</v>
      </c>
    </row>
    <row r="35" spans="1:19" x14ac:dyDescent="0.3">
      <c r="A35" t="s">
        <v>12</v>
      </c>
      <c r="B35">
        <f>IF(B34=0,0,$B$11*$B$10)</f>
        <v>-20</v>
      </c>
      <c r="C35">
        <f t="shared" ref="C35:M35" si="1">IF(C34=0,0,$B$11*$B$10)</f>
        <v>-20</v>
      </c>
      <c r="D35">
        <f t="shared" si="1"/>
        <v>-20</v>
      </c>
      <c r="E35">
        <f t="shared" si="1"/>
        <v>-20</v>
      </c>
      <c r="F35">
        <f t="shared" si="1"/>
        <v>-20</v>
      </c>
      <c r="G35">
        <f t="shared" si="1"/>
        <v>-20</v>
      </c>
      <c r="H35">
        <f t="shared" si="1"/>
        <v>-20</v>
      </c>
      <c r="I35">
        <f t="shared" si="1"/>
        <v>-20</v>
      </c>
      <c r="J35">
        <f t="shared" si="1"/>
        <v>-20</v>
      </c>
      <c r="K35">
        <f t="shared" si="1"/>
        <v>-20</v>
      </c>
      <c r="L35">
        <f t="shared" si="1"/>
        <v>-20</v>
      </c>
      <c r="M35">
        <f t="shared" si="1"/>
        <v>-20</v>
      </c>
      <c r="O35" s="5"/>
      <c r="P35" s="5">
        <v>1</v>
      </c>
      <c r="Q35" s="5">
        <v>2</v>
      </c>
      <c r="R35" s="5" t="s">
        <v>101</v>
      </c>
      <c r="S35" s="5" t="s">
        <v>2</v>
      </c>
    </row>
    <row r="36" spans="1:19" x14ac:dyDescent="0.3">
      <c r="A36" t="s">
        <v>13</v>
      </c>
      <c r="B36">
        <f>$B$12</f>
        <v>-122</v>
      </c>
      <c r="C36">
        <f t="shared" ref="C36:M36" si="2">$B$12</f>
        <v>-122</v>
      </c>
      <c r="D36">
        <f t="shared" si="2"/>
        <v>-122</v>
      </c>
      <c r="E36">
        <f t="shared" si="2"/>
        <v>-122</v>
      </c>
      <c r="F36">
        <f t="shared" si="2"/>
        <v>-122</v>
      </c>
      <c r="G36">
        <f t="shared" si="2"/>
        <v>-122</v>
      </c>
      <c r="H36">
        <f t="shared" si="2"/>
        <v>-122</v>
      </c>
      <c r="I36">
        <f t="shared" si="2"/>
        <v>-122</v>
      </c>
      <c r="J36">
        <f t="shared" si="2"/>
        <v>-122</v>
      </c>
      <c r="K36">
        <f t="shared" si="2"/>
        <v>-122</v>
      </c>
      <c r="L36">
        <f t="shared" si="2"/>
        <v>-122</v>
      </c>
      <c r="M36">
        <f t="shared" si="2"/>
        <v>-122</v>
      </c>
      <c r="O36" s="5"/>
      <c r="P36" s="5">
        <v>2</v>
      </c>
      <c r="Q36" s="5">
        <v>3</v>
      </c>
      <c r="R36" s="5" t="s">
        <v>102</v>
      </c>
      <c r="S36" s="5" t="s">
        <v>4</v>
      </c>
    </row>
    <row r="37" spans="1:19" x14ac:dyDescent="0.3">
      <c r="A37" t="s">
        <v>14</v>
      </c>
      <c r="B37">
        <f>$B$13</f>
        <v>-43</v>
      </c>
      <c r="C37">
        <f t="shared" ref="C37:M37" si="3">$B$13</f>
        <v>-43</v>
      </c>
      <c r="D37">
        <f t="shared" si="3"/>
        <v>-43</v>
      </c>
      <c r="E37">
        <f t="shared" si="3"/>
        <v>-43</v>
      </c>
      <c r="F37">
        <f t="shared" si="3"/>
        <v>-43</v>
      </c>
      <c r="G37">
        <f t="shared" si="3"/>
        <v>-43</v>
      </c>
      <c r="H37">
        <f t="shared" si="3"/>
        <v>-43</v>
      </c>
      <c r="I37">
        <f t="shared" si="3"/>
        <v>-43</v>
      </c>
      <c r="J37">
        <f t="shared" si="3"/>
        <v>-43</v>
      </c>
      <c r="K37">
        <f t="shared" si="3"/>
        <v>-43</v>
      </c>
      <c r="L37">
        <f t="shared" si="3"/>
        <v>-43</v>
      </c>
      <c r="M37">
        <f t="shared" si="3"/>
        <v>-43</v>
      </c>
      <c r="O37" s="5"/>
      <c r="P37" s="5">
        <v>3</v>
      </c>
      <c r="Q37" s="5">
        <v>4</v>
      </c>
      <c r="R37" s="5" t="s">
        <v>103</v>
      </c>
      <c r="S37" s="5" t="s">
        <v>6</v>
      </c>
    </row>
    <row r="38" spans="1:19" x14ac:dyDescent="0.3">
      <c r="A38" t="s">
        <v>15</v>
      </c>
      <c r="B38">
        <f>IFERROR(HLOOKUP(B33,$B$14:$B$15,2,FALSE),0)</f>
        <v>0</v>
      </c>
      <c r="C38">
        <f t="shared" ref="C38:M38" si="4">IFERROR(HLOOKUP(C33,$B$14:$B$15,2,FALSE),0)</f>
        <v>0</v>
      </c>
      <c r="D38">
        <f t="shared" si="4"/>
        <v>-700</v>
      </c>
      <c r="E38">
        <f t="shared" si="4"/>
        <v>0</v>
      </c>
      <c r="F38">
        <f t="shared" si="4"/>
        <v>0</v>
      </c>
      <c r="G38">
        <f t="shared" si="4"/>
        <v>0</v>
      </c>
      <c r="H38">
        <f t="shared" si="4"/>
        <v>0</v>
      </c>
      <c r="I38">
        <f t="shared" si="4"/>
        <v>0</v>
      </c>
      <c r="J38">
        <f t="shared" si="4"/>
        <v>0</v>
      </c>
      <c r="K38">
        <f t="shared" si="4"/>
        <v>0</v>
      </c>
      <c r="L38">
        <f t="shared" si="4"/>
        <v>0</v>
      </c>
      <c r="M38">
        <f t="shared" si="4"/>
        <v>0</v>
      </c>
    </row>
    <row r="39" spans="1:19" x14ac:dyDescent="0.3">
      <c r="A39" s="2" t="s">
        <v>25</v>
      </c>
      <c r="B39" s="2">
        <f t="shared" ref="B39:M39" si="5">SUM(B34:B38)</f>
        <v>160</v>
      </c>
      <c r="C39" s="2">
        <f t="shared" si="5"/>
        <v>160</v>
      </c>
      <c r="D39" s="2">
        <f t="shared" si="5"/>
        <v>-540</v>
      </c>
      <c r="E39" s="2">
        <f t="shared" si="5"/>
        <v>160</v>
      </c>
      <c r="F39" s="2">
        <f t="shared" si="5"/>
        <v>160</v>
      </c>
      <c r="G39" s="2">
        <f t="shared" si="5"/>
        <v>160</v>
      </c>
      <c r="H39" s="2">
        <f t="shared" si="5"/>
        <v>160</v>
      </c>
      <c r="I39" s="2">
        <f t="shared" si="5"/>
        <v>160</v>
      </c>
      <c r="J39" s="2">
        <f t="shared" si="5"/>
        <v>160</v>
      </c>
      <c r="K39" s="2">
        <f t="shared" si="5"/>
        <v>160</v>
      </c>
      <c r="L39" s="2">
        <f t="shared" si="5"/>
        <v>160</v>
      </c>
      <c r="M39" s="2">
        <f t="shared" si="5"/>
        <v>160</v>
      </c>
    </row>
    <row r="41" spans="1:19" x14ac:dyDescent="0.3">
      <c r="A41" s="1" t="s">
        <v>30</v>
      </c>
      <c r="B41" s="1" t="s">
        <v>0</v>
      </c>
      <c r="C41" s="1" t="s">
        <v>1</v>
      </c>
      <c r="D41" s="1" t="s">
        <v>2</v>
      </c>
      <c r="E41" s="1" t="s">
        <v>3</v>
      </c>
      <c r="F41" s="1" t="s">
        <v>4</v>
      </c>
      <c r="G41" s="1" t="s">
        <v>5</v>
      </c>
      <c r="H41" s="1" t="s">
        <v>6</v>
      </c>
      <c r="I41" s="1" t="s">
        <v>7</v>
      </c>
      <c r="J41" s="1" t="s">
        <v>8</v>
      </c>
      <c r="K41" s="1" t="s">
        <v>9</v>
      </c>
      <c r="L41" s="1" t="s">
        <v>10</v>
      </c>
      <c r="M41" s="1" t="s">
        <v>11</v>
      </c>
    </row>
    <row r="42" spans="1:19" x14ac:dyDescent="0.3">
      <c r="A42" t="s">
        <v>39</v>
      </c>
      <c r="B42">
        <f>IFERROR(HLOOKUP(B41,apartment2,2,FALSE),0)</f>
        <v>0</v>
      </c>
      <c r="C42">
        <f t="shared" ref="C42:M42" si="6">IF(B42&lt;&gt;0,B42,IFERROR(HLOOKUP(C41,apartment2,2,FALSE),0))</f>
        <v>0</v>
      </c>
      <c r="D42">
        <f t="shared" si="6"/>
        <v>440</v>
      </c>
      <c r="E42">
        <f t="shared" si="6"/>
        <v>440</v>
      </c>
      <c r="F42">
        <f t="shared" si="6"/>
        <v>440</v>
      </c>
      <c r="G42">
        <f t="shared" si="6"/>
        <v>440</v>
      </c>
      <c r="H42">
        <f t="shared" si="6"/>
        <v>440</v>
      </c>
      <c r="I42">
        <f t="shared" si="6"/>
        <v>440</v>
      </c>
      <c r="J42">
        <f t="shared" si="6"/>
        <v>440</v>
      </c>
      <c r="K42">
        <f t="shared" si="6"/>
        <v>440</v>
      </c>
      <c r="L42">
        <f t="shared" si="6"/>
        <v>440</v>
      </c>
      <c r="M42">
        <f t="shared" si="6"/>
        <v>440</v>
      </c>
    </row>
    <row r="43" spans="1:19" x14ac:dyDescent="0.3">
      <c r="A43" t="s">
        <v>12</v>
      </c>
      <c r="B43">
        <f>IF(B42=0,0,'all in one'!$C$11*'all in one'!$C$10)</f>
        <v>0</v>
      </c>
      <c r="C43">
        <f>IF(C42=0,0,'all in one'!$C$11*'all in one'!$C$10)</f>
        <v>0</v>
      </c>
      <c r="D43">
        <f>IF(D42=0,0,'all in one'!$C$11*'all in one'!$C$10)</f>
        <v>-40</v>
      </c>
      <c r="E43">
        <f>IF(E42=0,0,'all in one'!$C$11*'all in one'!$C$10)</f>
        <v>-40</v>
      </c>
      <c r="F43">
        <f>IF(F42=0,0,'all in one'!$C$11*'all in one'!$C$10)</f>
        <v>-40</v>
      </c>
      <c r="G43">
        <f>IF(G42=0,0,'all in one'!$C$11*'all in one'!$C$10)</f>
        <v>-40</v>
      </c>
      <c r="H43">
        <f>IF(H42=0,0,'all in one'!$C$11*'all in one'!$C$10)</f>
        <v>-40</v>
      </c>
      <c r="I43">
        <f>IF(I42=0,0,'all in one'!$C$11*'all in one'!$C$10)</f>
        <v>-40</v>
      </c>
      <c r="J43">
        <f>IF(J42=0,0,'all in one'!$C$11*'all in one'!$C$10)</f>
        <v>-40</v>
      </c>
      <c r="K43">
        <f>IF(K42=0,0,'all in one'!$C$11*'all in one'!$C$10)</f>
        <v>-40</v>
      </c>
      <c r="L43">
        <f>IF(L42=0,0,'all in one'!$C$11*'all in one'!$C$10)</f>
        <v>-40</v>
      </c>
      <c r="M43">
        <f>IF(M42=0,0,'all in one'!$C$11*'all in one'!$C$10)</f>
        <v>-40</v>
      </c>
    </row>
    <row r="44" spans="1:19" x14ac:dyDescent="0.3">
      <c r="A44" t="s">
        <v>13</v>
      </c>
      <c r="B44">
        <f>'all in one'!$C$12</f>
        <v>-202</v>
      </c>
      <c r="C44">
        <f>'all in one'!$C$12</f>
        <v>-202</v>
      </c>
      <c r="D44">
        <f>'all in one'!$C$12</f>
        <v>-202</v>
      </c>
      <c r="E44">
        <f>'all in one'!$C$12</f>
        <v>-202</v>
      </c>
      <c r="F44">
        <f>'all in one'!$C$12</f>
        <v>-202</v>
      </c>
      <c r="G44">
        <f>'all in one'!$C$12</f>
        <v>-202</v>
      </c>
      <c r="H44">
        <f>'all in one'!$C$12</f>
        <v>-202</v>
      </c>
      <c r="I44">
        <f>'all in one'!$C$12</f>
        <v>-202</v>
      </c>
      <c r="J44">
        <f>'all in one'!$C$12</f>
        <v>-202</v>
      </c>
      <c r="K44">
        <f>'all in one'!$C$12</f>
        <v>-202</v>
      </c>
      <c r="L44">
        <f>'all in one'!$C$12</f>
        <v>-202</v>
      </c>
      <c r="M44">
        <f>'all in one'!$C$12</f>
        <v>-202</v>
      </c>
    </row>
    <row r="45" spans="1:19" x14ac:dyDescent="0.3">
      <c r="A45" s="2" t="s">
        <v>26</v>
      </c>
      <c r="B45" s="2">
        <f t="shared" ref="B45:M45" si="7">SUM(B42:B44)</f>
        <v>-202</v>
      </c>
      <c r="C45" s="2">
        <f t="shared" si="7"/>
        <v>-202</v>
      </c>
      <c r="D45" s="2">
        <f t="shared" si="7"/>
        <v>198</v>
      </c>
      <c r="E45" s="2">
        <f t="shared" si="7"/>
        <v>198</v>
      </c>
      <c r="F45" s="2">
        <f t="shared" si="7"/>
        <v>198</v>
      </c>
      <c r="G45" s="2">
        <f t="shared" si="7"/>
        <v>198</v>
      </c>
      <c r="H45" s="2">
        <f t="shared" si="7"/>
        <v>198</v>
      </c>
      <c r="I45" s="2">
        <f t="shared" si="7"/>
        <v>198</v>
      </c>
      <c r="J45" s="2">
        <f t="shared" si="7"/>
        <v>198</v>
      </c>
      <c r="K45" s="2">
        <f t="shared" si="7"/>
        <v>198</v>
      </c>
      <c r="L45" s="2">
        <f t="shared" si="7"/>
        <v>198</v>
      </c>
      <c r="M45" s="2">
        <f t="shared" si="7"/>
        <v>198</v>
      </c>
    </row>
    <row r="47" spans="1:19" x14ac:dyDescent="0.3">
      <c r="B47">
        <v>1</v>
      </c>
      <c r="C47">
        <v>2</v>
      </c>
      <c r="D47">
        <v>3</v>
      </c>
      <c r="E47">
        <v>4</v>
      </c>
      <c r="F47">
        <v>5</v>
      </c>
      <c r="G47">
        <v>6</v>
      </c>
      <c r="H47">
        <v>7</v>
      </c>
      <c r="I47">
        <v>8</v>
      </c>
      <c r="J47">
        <v>9</v>
      </c>
      <c r="K47">
        <v>10</v>
      </c>
      <c r="L47">
        <v>11</v>
      </c>
      <c r="M47">
        <v>12</v>
      </c>
    </row>
    <row r="48" spans="1:19" x14ac:dyDescent="0.3">
      <c r="A48" s="1" t="s">
        <v>29</v>
      </c>
      <c r="B48" s="1" t="s">
        <v>0</v>
      </c>
      <c r="C48" s="1" t="s">
        <v>1</v>
      </c>
      <c r="D48" s="1" t="s">
        <v>2</v>
      </c>
      <c r="E48" s="1" t="s">
        <v>3</v>
      </c>
      <c r="F48" s="1" t="s">
        <v>4</v>
      </c>
      <c r="G48" s="1" t="s">
        <v>5</v>
      </c>
      <c r="H48" s="1" t="s">
        <v>6</v>
      </c>
      <c r="I48" s="1" t="s">
        <v>7</v>
      </c>
      <c r="J48" s="1" t="s">
        <v>8</v>
      </c>
      <c r="K48" s="1" t="s">
        <v>9</v>
      </c>
      <c r="L48" s="1" t="s">
        <v>10</v>
      </c>
      <c r="M48" s="1" t="s">
        <v>11</v>
      </c>
    </row>
    <row r="49" spans="1:13" x14ac:dyDescent="0.3">
      <c r="A49" t="s">
        <v>38</v>
      </c>
      <c r="B49">
        <f>IFERROR(HLOOKUP(B48,apartment3,3,FALSE),0)</f>
        <v>0</v>
      </c>
      <c r="C49">
        <f t="shared" ref="C49:M49" si="8">IF(B49&lt;&gt;0,B49,IFERROR(HLOOKUP(C48,apartment3,3,FALSE),0))</f>
        <v>0</v>
      </c>
      <c r="D49">
        <f t="shared" si="8"/>
        <v>0</v>
      </c>
      <c r="E49">
        <f t="shared" si="8"/>
        <v>0</v>
      </c>
      <c r="F49">
        <f t="shared" si="8"/>
        <v>600</v>
      </c>
      <c r="G49">
        <f t="shared" si="8"/>
        <v>600</v>
      </c>
      <c r="H49">
        <f t="shared" si="8"/>
        <v>600</v>
      </c>
      <c r="I49">
        <f t="shared" si="8"/>
        <v>600</v>
      </c>
      <c r="J49">
        <f t="shared" si="8"/>
        <v>600</v>
      </c>
      <c r="K49">
        <f t="shared" si="8"/>
        <v>600</v>
      </c>
      <c r="L49">
        <f t="shared" si="8"/>
        <v>600</v>
      </c>
      <c r="M49">
        <f t="shared" si="8"/>
        <v>600</v>
      </c>
    </row>
    <row r="50" spans="1:13" x14ac:dyDescent="0.3">
      <c r="A50" t="s">
        <v>12</v>
      </c>
      <c r="B50">
        <f>IF(B49=0,0,'all in one'!$D$11*'all in one'!$D$10)</f>
        <v>0</v>
      </c>
      <c r="C50">
        <f>IF(C49=0,0,'all in one'!$D$11*'all in one'!$D$10)</f>
        <v>0</v>
      </c>
      <c r="D50">
        <f>IF(D49=0,0,'all in one'!$D$11*'all in one'!$D$10)</f>
        <v>0</v>
      </c>
      <c r="E50">
        <f>IF(E49=0,0,'all in one'!$D$11*'all in one'!$D$10)</f>
        <v>0</v>
      </c>
      <c r="F50">
        <f>IF(F49=0,0,'all in one'!$D$11*'all in one'!$D$10)</f>
        <v>-51</v>
      </c>
      <c r="G50">
        <f>IF(G49=0,0,'all in one'!$D$11*'all in one'!$D$10)</f>
        <v>-51</v>
      </c>
      <c r="H50">
        <f>IF(H49=0,0,'all in one'!$D$11*'all in one'!$D$10)</f>
        <v>-51</v>
      </c>
      <c r="I50">
        <f>IF(I49=0,0,'all in one'!$D$11*'all in one'!$D$10)</f>
        <v>-51</v>
      </c>
      <c r="J50">
        <f>IF(J49=0,0,'all in one'!$D$11*'all in one'!$D$10)</f>
        <v>-51</v>
      </c>
      <c r="K50">
        <f>IF(K49=0,0,'all in one'!$D$11*'all in one'!$D$10)</f>
        <v>-51</v>
      </c>
      <c r="L50">
        <f>IF(L49=0,0,'all in one'!$D$11*'all in one'!$D$10)</f>
        <v>-51</v>
      </c>
      <c r="M50">
        <f>IF(M49=0,0,'all in one'!$D$11*'all in one'!$D$10)</f>
        <v>-51</v>
      </c>
    </row>
    <row r="51" spans="1:13" x14ac:dyDescent="0.3">
      <c r="A51" t="s">
        <v>13</v>
      </c>
      <c r="B51">
        <f>'all in one'!$D$12</f>
        <v>-121</v>
      </c>
      <c r="C51">
        <f>'all in one'!$D$12</f>
        <v>-121</v>
      </c>
      <c r="D51">
        <f>'all in one'!$D$12</f>
        <v>-121</v>
      </c>
      <c r="E51">
        <f>'all in one'!$D$12</f>
        <v>-121</v>
      </c>
      <c r="F51">
        <f>'all in one'!$D$12</f>
        <v>-121</v>
      </c>
      <c r="G51">
        <f>'all in one'!$D$12</f>
        <v>-121</v>
      </c>
      <c r="H51">
        <f>'all in one'!$D$12</f>
        <v>-121</v>
      </c>
      <c r="I51">
        <f>'all in one'!$D$12</f>
        <v>-121</v>
      </c>
      <c r="J51">
        <f>'all in one'!$D$12</f>
        <v>-121</v>
      </c>
      <c r="K51">
        <f>'all in one'!$D$12</f>
        <v>-121</v>
      </c>
      <c r="L51">
        <f>'all in one'!$D$12</f>
        <v>-121</v>
      </c>
      <c r="M51">
        <f>'all in one'!$D$12</f>
        <v>-121</v>
      </c>
    </row>
    <row r="52" spans="1:13" x14ac:dyDescent="0.3">
      <c r="A52" t="s">
        <v>14</v>
      </c>
      <c r="B52">
        <f>'all in one'!$D$13</f>
        <v>-44</v>
      </c>
      <c r="C52">
        <f>'all in one'!$D$13</f>
        <v>-44</v>
      </c>
      <c r="D52">
        <f>'all in one'!$D$13</f>
        <v>-44</v>
      </c>
      <c r="E52">
        <f>'all in one'!$D$13</f>
        <v>-44</v>
      </c>
      <c r="F52">
        <f>'all in one'!$D$13</f>
        <v>-44</v>
      </c>
      <c r="G52">
        <f>'all in one'!$D$13</f>
        <v>-44</v>
      </c>
      <c r="H52">
        <f>'all in one'!$D$13</f>
        <v>-44</v>
      </c>
      <c r="I52">
        <f>'all in one'!$D$13</f>
        <v>-44</v>
      </c>
      <c r="J52">
        <f>'all in one'!$D$13</f>
        <v>-44</v>
      </c>
      <c r="K52">
        <f>'all in one'!$D$13</f>
        <v>-44</v>
      </c>
      <c r="L52">
        <f>'all in one'!$D$13</f>
        <v>-44</v>
      </c>
      <c r="M52">
        <f>'all in one'!$D$13</f>
        <v>-44</v>
      </c>
    </row>
    <row r="53" spans="1:13" x14ac:dyDescent="0.3">
      <c r="A53" t="s">
        <v>16</v>
      </c>
      <c r="B53">
        <f>IF(B47&lt;='all in one'!$D$16,'all in one'!$D$15/'all in one'!$D$16,0)</f>
        <v>-1000</v>
      </c>
      <c r="C53">
        <f>IF(C47&lt;='all in one'!$D$16,'all in one'!$D$15/'all in one'!$D$16,0)</f>
        <v>-1000</v>
      </c>
      <c r="D53">
        <f>IF(D47&lt;='all in one'!$D$16,'all in one'!$D$15/'all in one'!$D$16,0)</f>
        <v>-1000</v>
      </c>
      <c r="E53">
        <f>IF(E47&lt;='all in one'!$D$16,'all in one'!$D$15/'all in one'!$D$16,0)</f>
        <v>-1000</v>
      </c>
      <c r="F53">
        <f>IF(F47&lt;='all in one'!$D$16,'all in one'!$D$15/'all in one'!$D$16,0)</f>
        <v>0</v>
      </c>
      <c r="G53">
        <f>IF(G47&lt;='all in one'!$D$16,'all in one'!$D$15/'all in one'!$D$16,0)</f>
        <v>0</v>
      </c>
      <c r="H53">
        <f>IF(H47&lt;='all in one'!$D$16,'all in one'!$D$15/'all in one'!$D$16,0)</f>
        <v>0</v>
      </c>
      <c r="I53">
        <f>IF(I47&lt;='all in one'!$D$16,'all in one'!$D$15/'all in one'!$D$16,0)</f>
        <v>0</v>
      </c>
      <c r="J53">
        <f>IF(J47&lt;='all in one'!$D$16,'all in one'!$D$15/'all in one'!$D$16,0)</f>
        <v>0</v>
      </c>
      <c r="K53">
        <f>IF(K47&lt;='all in one'!$D$16,'all in one'!$D$15/'all in one'!$D$16,0)</f>
        <v>0</v>
      </c>
      <c r="L53">
        <f>IF(L47&lt;='all in one'!$D$16,'all in one'!$D$15/'all in one'!$D$16,0)</f>
        <v>0</v>
      </c>
      <c r="M53">
        <f>IF(M47&lt;='all in one'!$D$16,'all in one'!$D$15/'all in one'!$D$16,0)</f>
        <v>0</v>
      </c>
    </row>
    <row r="54" spans="1:13" x14ac:dyDescent="0.3">
      <c r="A54" s="2" t="s">
        <v>25</v>
      </c>
      <c r="B54" s="2">
        <f t="shared" ref="B54:M54" si="9">SUM(B49:B53)</f>
        <v>-1165</v>
      </c>
      <c r="C54" s="2">
        <f t="shared" si="9"/>
        <v>-1165</v>
      </c>
      <c r="D54" s="2">
        <f t="shared" si="9"/>
        <v>-1165</v>
      </c>
      <c r="E54" s="2">
        <f t="shared" si="9"/>
        <v>-1165</v>
      </c>
      <c r="F54" s="2">
        <f t="shared" si="9"/>
        <v>384</v>
      </c>
      <c r="G54" s="2">
        <f t="shared" si="9"/>
        <v>384</v>
      </c>
      <c r="H54" s="2">
        <f t="shared" si="9"/>
        <v>384</v>
      </c>
      <c r="I54" s="2">
        <f t="shared" si="9"/>
        <v>384</v>
      </c>
      <c r="J54" s="2">
        <f t="shared" si="9"/>
        <v>384</v>
      </c>
      <c r="K54" s="2">
        <f t="shared" si="9"/>
        <v>384</v>
      </c>
      <c r="L54" s="2">
        <f t="shared" si="9"/>
        <v>384</v>
      </c>
      <c r="M54" s="2">
        <f t="shared" si="9"/>
        <v>384</v>
      </c>
    </row>
    <row r="56" spans="1:13" x14ac:dyDescent="0.3">
      <c r="A56" t="s">
        <v>24</v>
      </c>
      <c r="B56">
        <v>1</v>
      </c>
      <c r="C56">
        <v>2</v>
      </c>
      <c r="D56">
        <v>3</v>
      </c>
      <c r="E56">
        <v>4</v>
      </c>
      <c r="F56">
        <v>5</v>
      </c>
      <c r="G56">
        <v>6</v>
      </c>
      <c r="H56">
        <v>7</v>
      </c>
      <c r="I56">
        <v>8</v>
      </c>
      <c r="J56">
        <v>9</v>
      </c>
      <c r="K56">
        <v>10</v>
      </c>
      <c r="L56">
        <v>11</v>
      </c>
      <c r="M56">
        <v>12</v>
      </c>
    </row>
    <row r="57" spans="1:13" x14ac:dyDescent="0.3">
      <c r="A57" s="1"/>
      <c r="B57" s="1" t="s">
        <v>0</v>
      </c>
      <c r="C57" s="1" t="s">
        <v>1</v>
      </c>
      <c r="D57" s="1" t="s">
        <v>2</v>
      </c>
      <c r="E57" s="1" t="s">
        <v>3</v>
      </c>
      <c r="F57" s="1" t="s">
        <v>4</v>
      </c>
      <c r="G57" s="1" t="s">
        <v>5</v>
      </c>
      <c r="H57" s="1" t="s">
        <v>6</v>
      </c>
      <c r="I57" s="1" t="s">
        <v>7</v>
      </c>
      <c r="J57" s="1" t="s">
        <v>8</v>
      </c>
      <c r="K57" s="1" t="s">
        <v>9</v>
      </c>
      <c r="L57" s="1" t="s">
        <v>10</v>
      </c>
      <c r="M57" s="1" t="s">
        <v>11</v>
      </c>
    </row>
    <row r="58" spans="1:13" x14ac:dyDescent="0.3">
      <c r="A58" t="s">
        <v>17</v>
      </c>
      <c r="B58">
        <f>'all in one'!$C$20</f>
        <v>-10</v>
      </c>
      <c r="C58">
        <f>'all in one'!$C$20</f>
        <v>-10</v>
      </c>
      <c r="D58">
        <f>'all in one'!$C$20</f>
        <v>-10</v>
      </c>
      <c r="E58">
        <f>'all in one'!$C$20</f>
        <v>-10</v>
      </c>
      <c r="F58">
        <f>'all in one'!$C$20</f>
        <v>-10</v>
      </c>
      <c r="G58">
        <f>'all in one'!$C$20</f>
        <v>-10</v>
      </c>
      <c r="H58">
        <f>'all in one'!$C$20</f>
        <v>-10</v>
      </c>
      <c r="I58">
        <f>'all in one'!$C$20</f>
        <v>-10</v>
      </c>
      <c r="J58">
        <f>'all in one'!$C$20</f>
        <v>-10</v>
      </c>
      <c r="K58">
        <f>'all in one'!$C$20</f>
        <v>-10</v>
      </c>
      <c r="L58">
        <f>'all in one'!$C$20</f>
        <v>-10</v>
      </c>
      <c r="M58">
        <f>'all in one'!$C$20</f>
        <v>-10</v>
      </c>
    </row>
    <row r="59" spans="1:13" x14ac:dyDescent="0.3">
      <c r="A59" t="s">
        <v>42</v>
      </c>
      <c r="B59">
        <f>'all in one'!$C$21</f>
        <v>-55</v>
      </c>
      <c r="C59">
        <f>'all in one'!$C$21</f>
        <v>-55</v>
      </c>
      <c r="D59">
        <f>'all in one'!$C$21</f>
        <v>-55</v>
      </c>
      <c r="E59">
        <f>'all in one'!$C$21</f>
        <v>-55</v>
      </c>
      <c r="F59">
        <f>'all in one'!$C$21</f>
        <v>-55</v>
      </c>
      <c r="G59">
        <f>'all in one'!$C$21</f>
        <v>-55</v>
      </c>
      <c r="H59">
        <f>'all in one'!$C$21</f>
        <v>-55</v>
      </c>
      <c r="I59">
        <f>'all in one'!$C$21</f>
        <v>-55</v>
      </c>
      <c r="J59">
        <f>'all in one'!$C$21</f>
        <v>-55</v>
      </c>
      <c r="K59">
        <f>'all in one'!$C$21</f>
        <v>-55</v>
      </c>
      <c r="L59">
        <f>'all in one'!$C$21</f>
        <v>-55</v>
      </c>
      <c r="M59">
        <f>'all in one'!$C$21</f>
        <v>-55</v>
      </c>
    </row>
    <row r="60" spans="1:13" x14ac:dyDescent="0.3">
      <c r="A60" t="s">
        <v>43</v>
      </c>
      <c r="B60">
        <f>IF(MOD(B56,3)=0,'all in one'!$C$22,0)</f>
        <v>0</v>
      </c>
      <c r="C60">
        <f>IF(MOD(C56,3)=0,'all in one'!$C$22,0)</f>
        <v>0</v>
      </c>
      <c r="D60">
        <f>IF(MOD(D56,3)=0,'all in one'!$C$22,0)</f>
        <v>-100</v>
      </c>
      <c r="E60">
        <f>IF(MOD(E56,3)=0,'all in one'!$C$22,0)</f>
        <v>0</v>
      </c>
      <c r="F60">
        <f>IF(MOD(F56,3)=0,'all in one'!$C$22,0)</f>
        <v>0</v>
      </c>
      <c r="G60">
        <f>IF(MOD(G56,3)=0,'all in one'!$C$22,0)</f>
        <v>-100</v>
      </c>
      <c r="H60">
        <f>IF(MOD(H56,3)=0,'all in one'!$C$22,0)</f>
        <v>0</v>
      </c>
      <c r="I60">
        <f>IF(MOD(I56,3)=0,'all in one'!$C$22,0)</f>
        <v>0</v>
      </c>
      <c r="J60">
        <f>IF(MOD(J56,3)=0,'all in one'!$C$22,0)</f>
        <v>-100</v>
      </c>
      <c r="K60">
        <f>IF(MOD(K56,3)=0,'all in one'!$C$22,0)</f>
        <v>0</v>
      </c>
      <c r="L60">
        <f>IF(MOD(L56,3)=0,'all in one'!$C$22,0)</f>
        <v>0</v>
      </c>
      <c r="M60">
        <f>IF(MOD(M56,3)=0,'all in one'!$C$22,0)</f>
        <v>-100</v>
      </c>
    </row>
    <row r="61" spans="1:13" x14ac:dyDescent="0.3">
      <c r="A61" t="s">
        <v>18</v>
      </c>
      <c r="B61">
        <f>IFERROR(VLOOKUP(B57,'all in one'!$B$23:$C$23,2,FALSE),0)</f>
        <v>0</v>
      </c>
      <c r="C61">
        <f>IFERROR(VLOOKUP(C57,'all in one'!$B$23:$C$23,2,FALSE),0)</f>
        <v>0</v>
      </c>
      <c r="D61">
        <f>IFERROR(VLOOKUP(D57,'all in one'!$B$23:$C$23,2,FALSE),0)</f>
        <v>-300</v>
      </c>
      <c r="E61">
        <f>IFERROR(VLOOKUP(E57,'all in one'!$B$23:$C$23,2,FALSE),0)</f>
        <v>0</v>
      </c>
      <c r="F61">
        <f>IFERROR(VLOOKUP(F57,'all in one'!$B$23:$C$23,2,FALSE),0)</f>
        <v>0</v>
      </c>
      <c r="G61">
        <f>IFERROR(VLOOKUP(G57,'all in one'!$B$23:$C$23,2,FALSE),0)</f>
        <v>0</v>
      </c>
      <c r="H61">
        <f>IFERROR(VLOOKUP(H57,'all in one'!$B$23:$C$23,2,FALSE),0)</f>
        <v>0</v>
      </c>
      <c r="I61">
        <f>IFERROR(VLOOKUP(I57,'all in one'!$B$23:$C$23,2,FALSE),0)</f>
        <v>0</v>
      </c>
      <c r="J61">
        <f>IFERROR(VLOOKUP(J57,'all in one'!$B$23:$C$23,2,FALSE),0)</f>
        <v>0</v>
      </c>
      <c r="K61">
        <f>IFERROR(VLOOKUP(K57,'all in one'!$B$23:$C$23,2,FALSE),0)</f>
        <v>0</v>
      </c>
      <c r="L61">
        <f>IFERROR(VLOOKUP(L57,'all in one'!$B$23:$C$23,2,FALSE),0)</f>
        <v>0</v>
      </c>
      <c r="M61">
        <f>IFERROR(VLOOKUP(M57,'all in one'!$B$23:$C$23,2,FALSE),0)</f>
        <v>0</v>
      </c>
    </row>
    <row r="62" spans="1:13" x14ac:dyDescent="0.3">
      <c r="A62" t="s">
        <v>19</v>
      </c>
      <c r="B62">
        <f>IFERROR(VLOOKUP(B57,'all in one'!$B$24:$C$24,2,FALSE),0)</f>
        <v>0</v>
      </c>
      <c r="C62">
        <f>IFERROR(VLOOKUP(C57,'all in one'!$B$24:$C$24,2,FALSE),0)</f>
        <v>0</v>
      </c>
      <c r="D62">
        <f>IFERROR(VLOOKUP(D57,'all in one'!$B$24:$C$24,2,FALSE),0)</f>
        <v>0</v>
      </c>
      <c r="E62">
        <f>IFERROR(VLOOKUP(E57,'all in one'!$B$24:$C$24,2,FALSE),0)</f>
        <v>0</v>
      </c>
      <c r="F62">
        <f>IFERROR(VLOOKUP(F57,'all in one'!$B$24:$C$24,2,FALSE),0)</f>
        <v>0</v>
      </c>
      <c r="G62">
        <f>IFERROR(VLOOKUP(G57,'all in one'!$B$24:$C$24,2,FALSE),0)</f>
        <v>0</v>
      </c>
      <c r="H62">
        <f>IFERROR(VLOOKUP(H57,'all in one'!$B$24:$C$24,2,FALSE),0)</f>
        <v>0</v>
      </c>
      <c r="I62">
        <f>IFERROR(VLOOKUP(I57,'all in one'!$B$24:$C$24,2,FALSE),0)</f>
        <v>0</v>
      </c>
      <c r="J62">
        <f>IFERROR(VLOOKUP(J57,'all in one'!$B$24:$C$24,2,FALSE),0)</f>
        <v>0</v>
      </c>
      <c r="K62">
        <f>IFERROR(VLOOKUP(K57,'all in one'!$B$24:$C$24,2,FALSE),0)</f>
        <v>-440</v>
      </c>
      <c r="L62">
        <f>IFERROR(VLOOKUP(L57,'all in one'!$B$24:$C$24,2,FALSE),0)</f>
        <v>0</v>
      </c>
      <c r="M62">
        <f>IFERROR(VLOOKUP(M57,'all in one'!$B$24:$C$24,2,FALSE),0)</f>
        <v>0</v>
      </c>
    </row>
    <row r="63" spans="1:13" x14ac:dyDescent="0.3">
      <c r="A63" t="s">
        <v>20</v>
      </c>
      <c r="B63">
        <f>IFERROR(VLOOKUP(B57,'all in one'!$B$25:$C$25,2,FALSE),0)</f>
        <v>0</v>
      </c>
      <c r="C63">
        <f>IFERROR(VLOOKUP(C57,'all in one'!$B$25:$C$25,2,FALSE),0)</f>
        <v>0</v>
      </c>
      <c r="D63">
        <f>IFERROR(VLOOKUP(D57,'all in one'!$B$25:$C$25,2,FALSE),0)</f>
        <v>0</v>
      </c>
      <c r="E63">
        <f>IFERROR(VLOOKUP(E57,'all in one'!$B$25:$C$25,2,FALSE),0)</f>
        <v>0</v>
      </c>
      <c r="F63">
        <f>IFERROR(VLOOKUP(F57,'all in one'!$B$25:$C$25,2,FALSE),0)</f>
        <v>0</v>
      </c>
      <c r="G63">
        <f>IFERROR(VLOOKUP(G57,'all in one'!$B$25:$C$25,2,FALSE),0)</f>
        <v>-270</v>
      </c>
      <c r="H63">
        <f>IFERROR(VLOOKUP(H57,'all in one'!$B$25:$C$25,2,FALSE),0)</f>
        <v>0</v>
      </c>
      <c r="I63">
        <f>IFERROR(VLOOKUP(I57,'all in one'!$B$25:$C$25,2,FALSE),0)</f>
        <v>0</v>
      </c>
      <c r="J63">
        <f>IFERROR(VLOOKUP(J57,'all in one'!$B$25:$C$25,2,FALSE),0)</f>
        <v>0</v>
      </c>
      <c r="K63">
        <f>IFERROR(VLOOKUP(K57,'all in one'!$B$25:$C$25,2,FALSE),0)</f>
        <v>0</v>
      </c>
      <c r="L63">
        <f>IFERROR(VLOOKUP(L57,'all in one'!$B$25:$C$25,2,FALSE),0)</f>
        <v>0</v>
      </c>
      <c r="M63">
        <f>IFERROR(VLOOKUP(M57,'all in one'!$B$25:$C$25,2,FALSE),0)</f>
        <v>0</v>
      </c>
    </row>
    <row r="64" spans="1:13" x14ac:dyDescent="0.3">
      <c r="A64" t="s">
        <v>21</v>
      </c>
      <c r="B64">
        <f>IFERROR(VLOOKUP(B57,'all in one'!$B$26:$C$26,2,FALSE),0)</f>
        <v>0</v>
      </c>
      <c r="C64">
        <f>IFERROR(VLOOKUP(C57,'all in one'!$B$26:$C$26,2,FALSE),0)</f>
        <v>0</v>
      </c>
      <c r="D64">
        <f>IFERROR(VLOOKUP(D57,'all in one'!$B$26:$C$26,2,FALSE),0)</f>
        <v>0</v>
      </c>
      <c r="E64">
        <f>IFERROR(VLOOKUP(E57,'all in one'!$B$26:$C$26,2,FALSE),0)</f>
        <v>0</v>
      </c>
      <c r="F64">
        <f>IFERROR(VLOOKUP(F57,'all in one'!$B$26:$C$26,2,FALSE),0)</f>
        <v>0</v>
      </c>
      <c r="G64">
        <f>IFERROR(VLOOKUP(G57,'all in one'!$B$26:$C$26,2,FALSE),0)</f>
        <v>0</v>
      </c>
      <c r="H64">
        <f>IFERROR(VLOOKUP(H57,'all in one'!$B$26:$C$26,2,FALSE),0)</f>
        <v>0</v>
      </c>
      <c r="I64">
        <f>IFERROR(VLOOKUP(I57,'all in one'!$B$26:$C$26,2,FALSE),0)</f>
        <v>0</v>
      </c>
      <c r="J64">
        <f>IFERROR(VLOOKUP(J57,'all in one'!$B$26:$C$26,2,FALSE),0)</f>
        <v>0</v>
      </c>
      <c r="K64">
        <f>IFERROR(VLOOKUP(K57,'all in one'!$B$26:$C$26,2,FALSE),0)</f>
        <v>-200</v>
      </c>
      <c r="L64">
        <f>IFERROR(VLOOKUP(L57,'all in one'!$B$26:$C$26,2,FALSE),0)</f>
        <v>0</v>
      </c>
      <c r="M64">
        <f>IFERROR(VLOOKUP(M57,'all in one'!$B$26:$C$26,2,FALSE),0)</f>
        <v>0</v>
      </c>
    </row>
    <row r="65" spans="1:15" x14ac:dyDescent="0.3">
      <c r="A65" s="3" t="s">
        <v>27</v>
      </c>
      <c r="B65" s="3">
        <f t="shared" ref="B65:M65" si="10">SUM(B58:B64)</f>
        <v>-65</v>
      </c>
      <c r="C65" s="3">
        <f t="shared" si="10"/>
        <v>-65</v>
      </c>
      <c r="D65" s="3">
        <f t="shared" si="10"/>
        <v>-465</v>
      </c>
      <c r="E65" s="3">
        <f t="shared" si="10"/>
        <v>-65</v>
      </c>
      <c r="F65" s="3">
        <f t="shared" si="10"/>
        <v>-65</v>
      </c>
      <c r="G65" s="3">
        <f t="shared" si="10"/>
        <v>-435</v>
      </c>
      <c r="H65" s="3">
        <f t="shared" si="10"/>
        <v>-65</v>
      </c>
      <c r="I65" s="3">
        <f t="shared" si="10"/>
        <v>-65</v>
      </c>
      <c r="J65" s="3">
        <f t="shared" si="10"/>
        <v>-165</v>
      </c>
      <c r="K65" s="3">
        <f t="shared" si="10"/>
        <v>-705</v>
      </c>
      <c r="L65" s="3">
        <f t="shared" si="10"/>
        <v>-65</v>
      </c>
      <c r="M65" s="3">
        <f t="shared" si="10"/>
        <v>-165</v>
      </c>
    </row>
    <row r="67" spans="1:15" x14ac:dyDescent="0.3">
      <c r="A67" t="s">
        <v>23</v>
      </c>
    </row>
    <row r="68" spans="1:15" x14ac:dyDescent="0.3">
      <c r="A68" s="1"/>
      <c r="B68" s="1" t="s">
        <v>0</v>
      </c>
      <c r="C68" s="1" t="s">
        <v>1</v>
      </c>
      <c r="D68" s="1" t="s">
        <v>2</v>
      </c>
      <c r="E68" s="1" t="s">
        <v>3</v>
      </c>
      <c r="F68" s="1" t="s">
        <v>4</v>
      </c>
      <c r="G68" s="1" t="s">
        <v>5</v>
      </c>
      <c r="H68" s="1" t="s">
        <v>6</v>
      </c>
      <c r="I68" s="1" t="s">
        <v>7</v>
      </c>
      <c r="J68" s="1" t="s">
        <v>8</v>
      </c>
      <c r="K68" s="1" t="s">
        <v>9</v>
      </c>
      <c r="L68" s="1" t="s">
        <v>10</v>
      </c>
      <c r="M68" s="1" t="s">
        <v>11</v>
      </c>
    </row>
    <row r="69" spans="1:15" x14ac:dyDescent="0.3">
      <c r="A69" t="s">
        <v>47</v>
      </c>
      <c r="B69">
        <f t="shared" ref="B69:M69" si="11">B39+B45+B54+B65</f>
        <v>-1272</v>
      </c>
      <c r="C69">
        <f t="shared" si="11"/>
        <v>-1272</v>
      </c>
      <c r="D69">
        <f t="shared" si="11"/>
        <v>-1972</v>
      </c>
      <c r="E69">
        <f t="shared" si="11"/>
        <v>-872</v>
      </c>
      <c r="F69">
        <f t="shared" si="11"/>
        <v>677</v>
      </c>
      <c r="G69">
        <f t="shared" si="11"/>
        <v>307</v>
      </c>
      <c r="H69">
        <f t="shared" si="11"/>
        <v>677</v>
      </c>
      <c r="I69">
        <f t="shared" si="11"/>
        <v>677</v>
      </c>
      <c r="J69">
        <f t="shared" si="11"/>
        <v>577</v>
      </c>
      <c r="K69">
        <f t="shared" si="11"/>
        <v>37</v>
      </c>
      <c r="L69">
        <f t="shared" si="11"/>
        <v>677</v>
      </c>
      <c r="M69">
        <f t="shared" si="11"/>
        <v>577</v>
      </c>
    </row>
    <row r="70" spans="1:15" x14ac:dyDescent="0.3">
      <c r="A70" t="s">
        <v>46</v>
      </c>
      <c r="B70">
        <v>2300</v>
      </c>
    </row>
    <row r="71" spans="1:15" x14ac:dyDescent="0.3">
      <c r="A71" t="s">
        <v>51</v>
      </c>
      <c r="B71">
        <f>SUM($B$69:B69)+$B$70</f>
        <v>1028</v>
      </c>
      <c r="C71">
        <f>SUM($B$69:C69)+$B$70</f>
        <v>-244</v>
      </c>
      <c r="D71">
        <f>SUM($B$69:D69)+$B$70</f>
        <v>-2216</v>
      </c>
      <c r="E71">
        <f>SUM($B$69:E69)+$B$70</f>
        <v>-3088</v>
      </c>
      <c r="F71">
        <f>SUM($B$69:F69)+$B$70</f>
        <v>-2411</v>
      </c>
      <c r="G71">
        <f>SUM($B$69:G69)+$B$70</f>
        <v>-2104</v>
      </c>
      <c r="H71">
        <f>SUM($B$69:H69)+$B$70</f>
        <v>-1427</v>
      </c>
      <c r="I71">
        <f>SUM($B$69:I69)+$B$70</f>
        <v>-750</v>
      </c>
      <c r="J71">
        <f>SUM($B$69:J69)+$B$70</f>
        <v>-173</v>
      </c>
      <c r="K71">
        <f>SUM($B$69:K69)+$B$70</f>
        <v>-136</v>
      </c>
      <c r="L71">
        <f>SUM($B$69:L69)+$B$70</f>
        <v>541</v>
      </c>
      <c r="M71">
        <f>SUM($B$69:M69)+$B$70</f>
        <v>1118</v>
      </c>
    </row>
    <row r="72" spans="1:15" ht="15" thickBot="1" x14ac:dyDescent="0.35">
      <c r="A72" t="s">
        <v>82</v>
      </c>
      <c r="B72">
        <f>SUM($B$69:B69)+$B$70</f>
        <v>1028</v>
      </c>
      <c r="C72">
        <f>SUM($B$69:C69)+$B$70</f>
        <v>-244</v>
      </c>
      <c r="D72">
        <f>C74+D69</f>
        <v>-1216</v>
      </c>
      <c r="E72">
        <f>D74+E69</f>
        <v>-88</v>
      </c>
      <c r="F72">
        <f t="shared" ref="F72:M72" si="12">E74+F69</f>
        <v>1589</v>
      </c>
      <c r="G72">
        <f t="shared" si="12"/>
        <v>1896</v>
      </c>
      <c r="H72">
        <f t="shared" si="12"/>
        <v>2573</v>
      </c>
      <c r="I72">
        <f t="shared" si="12"/>
        <v>3250</v>
      </c>
      <c r="J72">
        <f t="shared" si="12"/>
        <v>3827</v>
      </c>
      <c r="K72">
        <f t="shared" si="12"/>
        <v>3864</v>
      </c>
      <c r="L72">
        <f t="shared" si="12"/>
        <v>4541</v>
      </c>
      <c r="M72">
        <f t="shared" si="12"/>
        <v>5118</v>
      </c>
      <c r="N72" s="24" t="s">
        <v>58</v>
      </c>
      <c r="O72" s="24"/>
    </row>
    <row r="73" spans="1:15" ht="15" thickBot="1" x14ac:dyDescent="0.35">
      <c r="A73" s="11" t="s">
        <v>50</v>
      </c>
      <c r="B73" s="12">
        <f t="shared" ref="B73:M73" si="13">IF(B72&lt;0,-ROUNDUP(B72,-3),0)</f>
        <v>0</v>
      </c>
      <c r="C73" s="12">
        <f t="shared" si="13"/>
        <v>1000</v>
      </c>
      <c r="D73" s="12">
        <f t="shared" si="13"/>
        <v>2000</v>
      </c>
      <c r="E73" s="12">
        <f t="shared" si="13"/>
        <v>1000</v>
      </c>
      <c r="F73" s="12">
        <f t="shared" si="13"/>
        <v>0</v>
      </c>
      <c r="G73" s="12">
        <f t="shared" si="13"/>
        <v>0</v>
      </c>
      <c r="H73" s="12">
        <f t="shared" si="13"/>
        <v>0</v>
      </c>
      <c r="I73" s="12">
        <f t="shared" si="13"/>
        <v>0</v>
      </c>
      <c r="J73" s="12">
        <f t="shared" si="13"/>
        <v>0</v>
      </c>
      <c r="K73" s="12">
        <f t="shared" si="13"/>
        <v>0</v>
      </c>
      <c r="L73" s="12">
        <f t="shared" si="13"/>
        <v>0</v>
      </c>
      <c r="M73" s="13">
        <f t="shared" si="13"/>
        <v>0</v>
      </c>
      <c r="N73" s="24">
        <f>SUM(B73:M73)</f>
        <v>4000</v>
      </c>
      <c r="O73" s="24"/>
    </row>
    <row r="74" spans="1:15" x14ac:dyDescent="0.3">
      <c r="A74" t="s">
        <v>52</v>
      </c>
      <c r="B74">
        <f>$B$70+SUM($B$73:B73)+SUM($B$69:B69)</f>
        <v>1028</v>
      </c>
      <c r="C74">
        <f>$B$70+SUM($B$73:C73)+SUM($B$69:C69)</f>
        <v>756</v>
      </c>
      <c r="D74">
        <f>$B$70+SUM($B$73:D73)+SUM($B$69:D69)</f>
        <v>784</v>
      </c>
      <c r="E74">
        <f>$B$70+SUM($B$73:E73)+SUM($B$69:E69)</f>
        <v>912</v>
      </c>
      <c r="F74">
        <f>$B$70+SUM($B$73:F73)+SUM($B$69:F69)</f>
        <v>1589</v>
      </c>
      <c r="G74">
        <f>$B$70+SUM($B$73:G73)+SUM($B$69:G69)</f>
        <v>1896</v>
      </c>
      <c r="H74">
        <f>$B$70+SUM($B$73:H73)+SUM($B$69:H69)</f>
        <v>2573</v>
      </c>
      <c r="I74">
        <f>$B$70+SUM($B$73:I73)+SUM($B$69:I69)</f>
        <v>3250</v>
      </c>
      <c r="J74">
        <f>$B$70+SUM($B$73:J73)+SUM($B$69:J69)</f>
        <v>3827</v>
      </c>
      <c r="K74">
        <f>$B$70+SUM($B$73:K73)+SUM($B$69:K69)</f>
        <v>3864</v>
      </c>
      <c r="L74">
        <f>$B$70+SUM($B$73:L73)+SUM($B$69:L69)</f>
        <v>4541</v>
      </c>
      <c r="M74">
        <f>$B$70+SUM($B$73:M73)+SUM($B$69:M69)</f>
        <v>5118</v>
      </c>
    </row>
    <row r="77" spans="1:15" x14ac:dyDescent="0.3">
      <c r="A77" s="16" t="s">
        <v>56</v>
      </c>
    </row>
    <row r="78" spans="1:15" x14ac:dyDescent="0.3">
      <c r="A78" t="s">
        <v>53</v>
      </c>
      <c r="B78" s="15">
        <v>0</v>
      </c>
    </row>
    <row r="79" spans="1:15" x14ac:dyDescent="0.3">
      <c r="A79" t="s">
        <v>54</v>
      </c>
      <c r="B79">
        <f>4000+$D$15</f>
        <v>0</v>
      </c>
    </row>
  </sheetData>
  <scenarios current="1" show="0" sqref="N73">
    <scenario name="optimistic" locked="1" count="3" user="Sophia" comment="Created by Sophia on 2/22/2019_x000a_Modified by Sophia on 2/22/2019_x000a_Modified by Sophia on 2/23/2019_x000a_Modified by Sophia on 2/24/2019">
      <inputCells r="D7" val="Mar"/>
      <inputCells r="B14" val="Dec"/>
      <inputCells r="D16" val="6"/>
    </scenario>
    <scenario name="pessimistic" locked="1" count="3" user="Sophia" comment="Created by Sophia on 2/22/2019_x000a_Modified by Sophia on 2/22/2019_x000a_Modified by Sophia on 2/23/2019_x000a_Modified by Sophia on 2/24/2019">
      <inputCells r="D7" val="Jul"/>
      <inputCells r="B14" val="Jan"/>
      <inputCells r="D16" val="1"/>
    </scenario>
    <scenario name="realistic" locked="1" count="3" user="Sophia" comment="Created by Sophia on 2/22/2019_x000a_Modified by Sophia on 2/23/2019">
      <inputCells r="D7" val="May"/>
      <inputCells r="B14" val="Mar"/>
      <inputCells r="D16" val="4"/>
    </scenario>
  </scenarios>
  <mergeCells count="5">
    <mergeCell ref="M5:Y5"/>
    <mergeCell ref="G22:H22"/>
    <mergeCell ref="G23:H23"/>
    <mergeCell ref="G21:H21"/>
    <mergeCell ref="L7:L22"/>
  </mergeCells>
  <conditionalFormatting sqref="A1:A4 N53:XFD53 I21:I23 G21:G23 A31:XFD52 A54:XFD90">
    <cfRule type="cellIs" dxfId="4" priority="7" operator="lessThan">
      <formula>0</formula>
    </cfRule>
  </conditionalFormatting>
  <conditionalFormatting sqref="A53">
    <cfRule type="cellIs" dxfId="3" priority="5" operator="lessThan">
      <formula>0</formula>
    </cfRule>
  </conditionalFormatting>
  <conditionalFormatting sqref="B53:M53">
    <cfRule type="cellIs" dxfId="2" priority="4" operator="lessThan">
      <formula>0</formula>
    </cfRule>
  </conditionalFormatting>
  <conditionalFormatting sqref="M4">
    <cfRule type="cellIs" dxfId="1" priority="3" operator="lessThan">
      <formula>0</formula>
    </cfRule>
  </conditionalFormatting>
  <conditionalFormatting sqref="N4">
    <cfRule type="cellIs" dxfId="0" priority="2" operator="lessThan">
      <formula>0</formula>
    </cfRule>
  </conditionalFormatting>
  <conditionalFormatting sqref="N7:Y23">
    <cfRule type="colorScale" priority="1">
      <colorScale>
        <cfvo type="min"/>
        <cfvo type="percentile" val="50"/>
        <cfvo type="max"/>
        <color rgb="FF63BE7B"/>
        <color rgb="FFFCFCFF"/>
        <color rgb="FFF8696B"/>
      </colorScale>
    </cfRule>
  </conditionalFormatting>
  <dataValidations count="1">
    <dataValidation type="list" allowBlank="1" showInputMessage="1" showErrorMessage="1" sqref="B7:E7 B14 B23:B26" xr:uid="{8CC09910-F2E6-40C0-8BD5-2A18598AA053}">
      <formula1>"Jan,Feb,Mar,Apr,May,Jun,Jul,Aug,Sep,Oct,Nov,Dec"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6" r:id="rId4" name="Button 22">
              <controlPr defaultSize="0" print="0" autoFill="0" autoPict="0" macro="[0]!Macro1">
                <anchor moveWithCells="1" sizeWithCells="1">
                  <from>
                    <xdr:col>4</xdr:col>
                    <xdr:colOff>7620</xdr:colOff>
                    <xdr:row>76</xdr:row>
                    <xdr:rowOff>38100</xdr:rowOff>
                  </from>
                  <to>
                    <xdr:col>6</xdr:col>
                    <xdr:colOff>533400</xdr:colOff>
                    <xdr:row>78</xdr:row>
                    <xdr:rowOff>144780</xdr:rowOff>
                  </to>
                </anchor>
              </controlPr>
            </control>
          </mc:Choice>
        </mc:AlternateContent>
        <mc:AlternateContent xmlns:mc="http://schemas.openxmlformats.org/markup-compatibility/2006">
          <mc:Choice Requires="x14">
            <control shapeId="1047" r:id="rId5" name="Button 23">
              <controlPr defaultSize="0" print="0" autoFill="0" autoPict="0" macro="[0]!Macro2">
                <anchor moveWithCells="1" sizeWithCells="1">
                  <from>
                    <xdr:col>8</xdr:col>
                    <xdr:colOff>7620</xdr:colOff>
                    <xdr:row>76</xdr:row>
                    <xdr:rowOff>38100</xdr:rowOff>
                  </from>
                  <to>
                    <xdr:col>10</xdr:col>
                    <xdr:colOff>624840</xdr:colOff>
                    <xdr:row>78</xdr:row>
                    <xdr:rowOff>144780</xdr:rowOff>
                  </to>
                </anchor>
              </controlPr>
            </control>
          </mc:Choice>
        </mc:AlternateContent>
        <mc:AlternateContent xmlns:mc="http://schemas.openxmlformats.org/markup-compatibility/2006">
          <mc:Choice Requires="x14">
            <control shapeId="1051" r:id="rId6" name="Option Button 27">
              <controlPr defaultSize="0" autoFill="0" autoLine="0" autoPict="0">
                <anchor moveWithCells="1">
                  <from>
                    <xdr:col>14</xdr:col>
                    <xdr:colOff>274320</xdr:colOff>
                    <xdr:row>34</xdr:row>
                    <xdr:rowOff>7620</xdr:rowOff>
                  </from>
                  <to>
                    <xdr:col>14</xdr:col>
                    <xdr:colOff>609600</xdr:colOff>
                    <xdr:row>35</xdr:row>
                    <xdr:rowOff>38100</xdr:rowOff>
                  </to>
                </anchor>
              </controlPr>
            </control>
          </mc:Choice>
        </mc:AlternateContent>
        <mc:AlternateContent xmlns:mc="http://schemas.openxmlformats.org/markup-compatibility/2006">
          <mc:Choice Requires="x14">
            <control shapeId="1052" r:id="rId7" name="Option Button 28">
              <controlPr defaultSize="0" autoFill="0" autoLine="0" autoPict="0">
                <anchor moveWithCells="1">
                  <from>
                    <xdr:col>14</xdr:col>
                    <xdr:colOff>274320</xdr:colOff>
                    <xdr:row>34</xdr:row>
                    <xdr:rowOff>167640</xdr:rowOff>
                  </from>
                  <to>
                    <xdr:col>14</xdr:col>
                    <xdr:colOff>617220</xdr:colOff>
                    <xdr:row>36</xdr:row>
                    <xdr:rowOff>7620</xdr:rowOff>
                  </to>
                </anchor>
              </controlPr>
            </control>
          </mc:Choice>
        </mc:AlternateContent>
        <mc:AlternateContent xmlns:mc="http://schemas.openxmlformats.org/markup-compatibility/2006">
          <mc:Choice Requires="x14">
            <control shapeId="1053" r:id="rId8" name="Option Button 29">
              <controlPr defaultSize="0" autoFill="0" autoLine="0" autoPict="0">
                <anchor moveWithCells="1">
                  <from>
                    <xdr:col>14</xdr:col>
                    <xdr:colOff>281940</xdr:colOff>
                    <xdr:row>35</xdr:row>
                    <xdr:rowOff>167640</xdr:rowOff>
                  </from>
                  <to>
                    <xdr:col>14</xdr:col>
                    <xdr:colOff>624840</xdr:colOff>
                    <xdr:row>37</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5F376-2F05-4B6C-8FEC-290F9902CCC1}">
  <sheetPr codeName="Sheet2">
    <outlinePr summaryBelow="0"/>
  </sheetPr>
  <dimension ref="B1:G16"/>
  <sheetViews>
    <sheetView showGridLines="0" workbookViewId="0">
      <selection activeCell="J14" sqref="J14"/>
    </sheetView>
  </sheetViews>
  <sheetFormatPr defaultRowHeight="14.4" outlineLevelRow="1" outlineLevelCol="1" x14ac:dyDescent="0.3"/>
  <cols>
    <col min="3" max="3" width="26.6640625" customWidth="1"/>
    <col min="4" max="7" width="13.109375" bestFit="1" customWidth="1" outlineLevel="1"/>
  </cols>
  <sheetData>
    <row r="1" spans="2:7" ht="15" thickBot="1" x14ac:dyDescent="0.35"/>
    <row r="2" spans="2:7" ht="15.6" x14ac:dyDescent="0.3">
      <c r="B2" s="34" t="s">
        <v>64</v>
      </c>
      <c r="C2" s="34"/>
      <c r="D2" s="26"/>
      <c r="E2" s="26"/>
      <c r="F2" s="26"/>
      <c r="G2" s="26"/>
    </row>
    <row r="3" spans="2:7" ht="15.6" collapsed="1" x14ac:dyDescent="0.3">
      <c r="B3" s="33"/>
      <c r="C3" s="33"/>
      <c r="D3" s="27" t="s">
        <v>66</v>
      </c>
      <c r="E3" s="27" t="s">
        <v>61</v>
      </c>
      <c r="F3" s="27" t="s">
        <v>62</v>
      </c>
      <c r="G3" s="27" t="s">
        <v>63</v>
      </c>
    </row>
    <row r="4" spans="2:7" ht="61.2" hidden="1" outlineLevel="1" x14ac:dyDescent="0.3">
      <c r="B4" s="35"/>
      <c r="C4" s="35"/>
      <c r="E4" s="28" t="s">
        <v>74</v>
      </c>
      <c r="F4" s="28" t="s">
        <v>74</v>
      </c>
      <c r="G4" s="28" t="s">
        <v>75</v>
      </c>
    </row>
    <row r="5" spans="2:7" x14ac:dyDescent="0.3">
      <c r="B5" s="36" t="s">
        <v>65</v>
      </c>
      <c r="C5" s="36"/>
      <c r="D5" s="25"/>
      <c r="E5" s="25"/>
      <c r="F5" s="25"/>
      <c r="G5" s="25"/>
    </row>
    <row r="6" spans="2:7" outlineLevel="1" x14ac:dyDescent="0.3">
      <c r="B6" s="35"/>
      <c r="C6" s="35" t="s">
        <v>80</v>
      </c>
      <c r="D6" t="s">
        <v>4</v>
      </c>
      <c r="E6" s="38" t="s">
        <v>2</v>
      </c>
      <c r="F6" s="38" t="s">
        <v>6</v>
      </c>
      <c r="G6" s="38" t="s">
        <v>4</v>
      </c>
    </row>
    <row r="7" spans="2:7" outlineLevel="1" x14ac:dyDescent="0.3">
      <c r="B7" s="35"/>
      <c r="C7" s="35" t="s">
        <v>78</v>
      </c>
      <c r="D7" t="s">
        <v>2</v>
      </c>
      <c r="E7" s="38" t="s">
        <v>11</v>
      </c>
      <c r="F7" s="38" t="s">
        <v>0</v>
      </c>
      <c r="G7" s="38" t="s">
        <v>2</v>
      </c>
    </row>
    <row r="8" spans="2:7" outlineLevel="1" x14ac:dyDescent="0.3">
      <c r="B8" s="35"/>
      <c r="C8" s="35" t="s">
        <v>79</v>
      </c>
      <c r="D8">
        <v>4</v>
      </c>
      <c r="E8" s="38">
        <v>6</v>
      </c>
      <c r="F8" s="38">
        <v>1</v>
      </c>
      <c r="G8" s="38">
        <v>4</v>
      </c>
    </row>
    <row r="9" spans="2:7" x14ac:dyDescent="0.3">
      <c r="B9" s="36" t="s">
        <v>67</v>
      </c>
      <c r="C9" s="36"/>
      <c r="D9" s="25"/>
      <c r="E9" s="25"/>
      <c r="F9" s="25"/>
      <c r="G9" s="25"/>
    </row>
    <row r="10" spans="2:7" ht="15" outlineLevel="1" thickBot="1" x14ac:dyDescent="0.35">
      <c r="B10" s="37"/>
      <c r="C10" s="37" t="s">
        <v>81</v>
      </c>
      <c r="D10" s="32">
        <v>4000</v>
      </c>
      <c r="E10" s="32">
        <v>1000</v>
      </c>
      <c r="F10" s="32">
        <v>6000</v>
      </c>
      <c r="G10" s="32">
        <v>4000</v>
      </c>
    </row>
    <row r="13" spans="2:7" x14ac:dyDescent="0.3">
      <c r="B13" s="29" t="s">
        <v>68</v>
      </c>
      <c r="C13" s="30"/>
      <c r="D13" s="30"/>
      <c r="E13" s="30"/>
      <c r="F13" s="30"/>
      <c r="G13" s="30"/>
    </row>
    <row r="14" spans="2:7" ht="63" customHeight="1" x14ac:dyDescent="0.3">
      <c r="B14" s="49" t="s">
        <v>76</v>
      </c>
      <c r="C14" s="49"/>
      <c r="D14" s="49"/>
      <c r="E14" s="49"/>
      <c r="F14" s="49"/>
      <c r="G14" s="49"/>
    </row>
    <row r="15" spans="2:7" ht="65.400000000000006" customHeight="1" x14ac:dyDescent="0.3">
      <c r="B15" s="49" t="s">
        <v>87</v>
      </c>
      <c r="C15" s="49"/>
      <c r="D15" s="49"/>
      <c r="E15" s="49"/>
      <c r="F15" s="49"/>
      <c r="G15" s="49"/>
    </row>
    <row r="16" spans="2:7" ht="28.2" customHeight="1" x14ac:dyDescent="0.3">
      <c r="B16" s="50" t="s">
        <v>77</v>
      </c>
      <c r="C16" s="50"/>
      <c r="D16" s="50"/>
      <c r="E16" s="50"/>
      <c r="F16" s="50"/>
      <c r="G16" s="50"/>
    </row>
  </sheetData>
  <mergeCells count="3">
    <mergeCell ref="B14:G14"/>
    <mergeCell ref="B15:G15"/>
    <mergeCell ref="B16:G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8E11A-B046-44D5-AE0C-940207D6C056}">
  <sheetPr codeName="Sheet3"/>
  <dimension ref="A1:A20"/>
  <sheetViews>
    <sheetView workbookViewId="0">
      <selection activeCell="H23" sqref="H23"/>
    </sheetView>
  </sheetViews>
  <sheetFormatPr defaultRowHeight="14.4" x14ac:dyDescent="0.3"/>
  <sheetData>
    <row r="1" spans="1:1" x14ac:dyDescent="0.3">
      <c r="A1" t="s">
        <v>86</v>
      </c>
    </row>
    <row r="3" spans="1:1" x14ac:dyDescent="0.3">
      <c r="A3" s="39" t="s">
        <v>89</v>
      </c>
    </row>
    <row r="4" spans="1:1" x14ac:dyDescent="0.3">
      <c r="A4" s="43" t="s">
        <v>90</v>
      </c>
    </row>
    <row r="5" spans="1:1" x14ac:dyDescent="0.3">
      <c r="A5" s="40"/>
    </row>
    <row r="6" spans="1:1" x14ac:dyDescent="0.3">
      <c r="A6" s="39" t="s">
        <v>91</v>
      </c>
    </row>
    <row r="7" spans="1:1" x14ac:dyDescent="0.3">
      <c r="A7" s="43" t="s">
        <v>92</v>
      </c>
    </row>
    <row r="8" spans="1:1" x14ac:dyDescent="0.3">
      <c r="A8" s="43"/>
    </row>
    <row r="9" spans="1:1" x14ac:dyDescent="0.3">
      <c r="A9" s="39" t="s">
        <v>84</v>
      </c>
    </row>
    <row r="10" spans="1:1" x14ac:dyDescent="0.3">
      <c r="A10" s="39"/>
    </row>
    <row r="11" spans="1:1" x14ac:dyDescent="0.3">
      <c r="A11" s="39" t="s">
        <v>85</v>
      </c>
    </row>
    <row r="12" spans="1:1" x14ac:dyDescent="0.3">
      <c r="A12" s="39"/>
    </row>
    <row r="13" spans="1:1" x14ac:dyDescent="0.3">
      <c r="A13" s="39" t="s">
        <v>93</v>
      </c>
    </row>
    <row r="14" spans="1:1" x14ac:dyDescent="0.3">
      <c r="A14" s="43" t="s">
        <v>94</v>
      </c>
    </row>
    <row r="15" spans="1:1" x14ac:dyDescent="0.3">
      <c r="A15" s="39"/>
    </row>
    <row r="16" spans="1:1" x14ac:dyDescent="0.3">
      <c r="A16" s="39" t="s">
        <v>95</v>
      </c>
    </row>
    <row r="17" spans="1:1" x14ac:dyDescent="0.3">
      <c r="A17" s="43" t="s">
        <v>96</v>
      </c>
    </row>
    <row r="18" spans="1:1" x14ac:dyDescent="0.3">
      <c r="A18" s="43"/>
    </row>
    <row r="19" spans="1:1" x14ac:dyDescent="0.3">
      <c r="A19" s="39" t="s">
        <v>97</v>
      </c>
    </row>
    <row r="20" spans="1:1" x14ac:dyDescent="0.3">
      <c r="A20" s="43" t="s">
        <v>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1CDA-8457-4495-B862-2F948795E6CC}">
  <sheetPr codeName="Sheet4"/>
  <dimension ref="B2"/>
  <sheetViews>
    <sheetView view="pageBreakPreview" topLeftCell="A4" zoomScale="60" zoomScaleNormal="70" workbookViewId="0">
      <selection activeCell="P42" sqref="P42"/>
    </sheetView>
  </sheetViews>
  <sheetFormatPr defaultRowHeight="14.4" x14ac:dyDescent="0.3"/>
  <cols>
    <col min="10" max="10" width="8.88671875" customWidth="1"/>
  </cols>
  <sheetData>
    <row r="2" spans="2:2" ht="25.8" x14ac:dyDescent="0.5">
      <c r="B2" s="31" t="s">
        <v>73</v>
      </c>
    </row>
  </sheetData>
  <pageMargins left="0.7" right="0.7" top="0.75" bottom="0.75" header="0.3" footer="0.3"/>
  <pageSetup scale="4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pdf">
                <anchor moveWithCells="1" sizeWithCells="1">
                  <from>
                    <xdr:col>17</xdr:col>
                    <xdr:colOff>99060</xdr:colOff>
                    <xdr:row>35</xdr:row>
                    <xdr:rowOff>76200</xdr:rowOff>
                  </from>
                  <to>
                    <xdr:col>20</xdr:col>
                    <xdr:colOff>480060</xdr:colOff>
                    <xdr:row>38</xdr:row>
                    <xdr:rowOff>53340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all in one</vt:lpstr>
      <vt:lpstr>Scenario Summary</vt:lpstr>
      <vt:lpstr>answers all questions</vt:lpstr>
      <vt:lpstr>report pdf</vt:lpstr>
      <vt:lpstr>apartment1</vt:lpstr>
      <vt:lpstr>apartment2</vt:lpstr>
      <vt:lpstr>apartment3</vt:lpstr>
      <vt:lpstr>cost</vt:lpstr>
      <vt:lpstr>refmonth</vt:lpstr>
      <vt:lpstr>rentmonth3</vt:lpstr>
      <vt:lpstr>revmonth</vt:lpstr>
      <vt:lpstr>sc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Sophia</dc:creator>
  <cp:lastModifiedBy>Sophia</cp:lastModifiedBy>
  <cp:lastPrinted>2019-02-23T21:53:51Z</cp:lastPrinted>
  <dcterms:created xsi:type="dcterms:W3CDTF">2019-02-19T12:42:17Z</dcterms:created>
  <dcterms:modified xsi:type="dcterms:W3CDTF">2019-02-24T16:38:45Z</dcterms:modified>
</cp:coreProperties>
</file>